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piazza-my.sharepoint.com/personal/jperaza_bmc_com_pa/Documents/Documentos/Pedidos/2026/Hoka/FW26/GBC/Assets/Order Form/Apparel/"/>
    </mc:Choice>
  </mc:AlternateContent>
  <xr:revisionPtr revIDLastSave="182" documentId="8_{D5E3DA91-FFFF-477F-81BB-41EE9069CDD6}" xr6:coauthVersionLast="47" xr6:coauthVersionMax="47" xr10:uidLastSave="{59090195-6F08-43E1-8724-DFB615A5B5D1}"/>
  <bookViews>
    <workbookView xWindow="-110" yWindow="-110" windowWidth="19420" windowHeight="10300" xr2:uid="{C06C2E7E-7C15-460D-9360-E3374A5979B1}"/>
  </bookViews>
  <sheets>
    <sheet name="App &amp; Accs" sheetId="1" r:id="rId1"/>
    <sheet name="Size Pack" sheetId="2" r:id="rId2"/>
  </sheets>
  <definedNames>
    <definedName name="_xlnm._FilterDatabase" localSheetId="0" hidden="1">'App &amp; Accs'!$A$3:$P$3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O2" i="1" l="1"/>
  <c r="P2" i="1" l="1"/>
</calcChain>
</file>

<file path=xl/sharedStrings.xml><?xml version="1.0" encoding="utf-8"?>
<sst xmlns="http://schemas.openxmlformats.org/spreadsheetml/2006/main" count="1165" uniqueCount="264">
  <si>
    <t>Style</t>
  </si>
  <si>
    <t>Gender</t>
  </si>
  <si>
    <t>Description</t>
  </si>
  <si>
    <t>Color</t>
  </si>
  <si>
    <t>XS</t>
  </si>
  <si>
    <t>S</t>
  </si>
  <si>
    <t>M</t>
  </si>
  <si>
    <t>L</t>
  </si>
  <si>
    <t>XL</t>
  </si>
  <si>
    <t>MSRP</t>
  </si>
  <si>
    <t>Total</t>
  </si>
  <si>
    <t/>
  </si>
  <si>
    <t>1141742-BLK</t>
  </si>
  <si>
    <t>Men's</t>
  </si>
  <si>
    <t>M NOVAFLY HALF TIGHT</t>
  </si>
  <si>
    <t>BLACK</t>
  </si>
  <si>
    <t>1141743-BLK</t>
  </si>
  <si>
    <t>Women's</t>
  </si>
  <si>
    <t>W NOVAFLY RUN TIGHT 25''</t>
  </si>
  <si>
    <t>1141760-BLK</t>
  </si>
  <si>
    <t>W ELARO CROP BRA</t>
  </si>
  <si>
    <t>1156098-BBLC</t>
  </si>
  <si>
    <t>M SKYGLOW HALF-ZIP</t>
  </si>
  <si>
    <t>BLACK / BLACK</t>
  </si>
  <si>
    <t>1156113-BBLC</t>
  </si>
  <si>
    <t>W SKYGLOW HALF-ZIP</t>
  </si>
  <si>
    <t>1166630-BBLC</t>
  </si>
  <si>
    <t>W RACE DAY BRA</t>
  </si>
  <si>
    <t>1166630-SGLS</t>
  </si>
  <si>
    <t>SEA GLASS</t>
  </si>
  <si>
    <t>1173710-SQDNK</t>
  </si>
  <si>
    <t>W RACE DAY FITTED 2.5'' SHORT</t>
  </si>
  <si>
    <t>SQUID INK</t>
  </si>
  <si>
    <t>1174750-BLK</t>
  </si>
  <si>
    <t>M CORE LOGO CTN SS TEE</t>
  </si>
  <si>
    <t>1174750-NLF</t>
  </si>
  <si>
    <t>NETTLE LEAF</t>
  </si>
  <si>
    <t>1174750-SRNGB</t>
  </si>
  <si>
    <t>SOARING BLUE</t>
  </si>
  <si>
    <t>VARSITY NAVY</t>
  </si>
  <si>
    <t>1174750-WHT</t>
  </si>
  <si>
    <t>WHITE</t>
  </si>
  <si>
    <t>1174751-BLK</t>
  </si>
  <si>
    <t>W CORE LOGO CTN SS TEE</t>
  </si>
  <si>
    <t>1174751-DQR</t>
  </si>
  <si>
    <t>DARK QUARTZITE</t>
  </si>
  <si>
    <t>1174751-SRNGB</t>
  </si>
  <si>
    <t>1175851-BLK</t>
  </si>
  <si>
    <t>M EVERYRUN TANK</t>
  </si>
  <si>
    <t>1175851-NTG</t>
  </si>
  <si>
    <t>NIGHT GLOW BLUE</t>
  </si>
  <si>
    <t>1175851-WHT</t>
  </si>
  <si>
    <t>1175853-BLK</t>
  </si>
  <si>
    <t>M EVERYRUN SHORT SLEEVE</t>
  </si>
  <si>
    <t>1175853-DEP</t>
  </si>
  <si>
    <t>DEEP MAUVE</t>
  </si>
  <si>
    <t>1175853-NTG</t>
  </si>
  <si>
    <t>1175853-RKG</t>
  </si>
  <si>
    <t>RIVER ROCK GREY</t>
  </si>
  <si>
    <t>1175853-WHT</t>
  </si>
  <si>
    <t>1175854-BLK</t>
  </si>
  <si>
    <t>M EVERYRUN LONG SLEEVE</t>
  </si>
  <si>
    <t>1175854-NTG</t>
  </si>
  <si>
    <t>1175854-RKG</t>
  </si>
  <si>
    <t>1175855-BLK</t>
  </si>
  <si>
    <t>W EVERYRUN TANK</t>
  </si>
  <si>
    <t>1175855-NTG</t>
  </si>
  <si>
    <t>1175855-WHT</t>
  </si>
  <si>
    <t>1175856-BLK</t>
  </si>
  <si>
    <t>W EVERYRUN SHORT SLEEVE</t>
  </si>
  <si>
    <t>1175856-NTG</t>
  </si>
  <si>
    <t>1175856-WHT</t>
  </si>
  <si>
    <t>W EVERYRUN LONG SLEEVE</t>
  </si>
  <si>
    <t>1175857-NTG</t>
  </si>
  <si>
    <t>1175857-QTZ</t>
  </si>
  <si>
    <t>QUARTZITE</t>
  </si>
  <si>
    <t>1175857-RDG</t>
  </si>
  <si>
    <t>RED AGATE</t>
  </si>
  <si>
    <t>1175858-BLDRG</t>
  </si>
  <si>
    <t>M GLIDE SHORT 5'' BRIEF</t>
  </si>
  <si>
    <t>BOULDER GREY</t>
  </si>
  <si>
    <t>1175858-BLK</t>
  </si>
  <si>
    <t>1175858-VST</t>
  </si>
  <si>
    <t>1175859-BLK</t>
  </si>
  <si>
    <t>W GLIDE SHORT MR 3.5'' BRIEF</t>
  </si>
  <si>
    <t>1175859-DEP</t>
  </si>
  <si>
    <t>1175859-VST</t>
  </si>
  <si>
    <t>1175860-BLK</t>
  </si>
  <si>
    <t>W GLIDE SHORT MR 5'' 2IN1</t>
  </si>
  <si>
    <t>1175860-NTG</t>
  </si>
  <si>
    <t>1175890-BLDRG</t>
  </si>
  <si>
    <t>M GLIDE SHORT 7'' 2IN1</t>
  </si>
  <si>
    <t>1175890-BLK</t>
  </si>
  <si>
    <t>1178472-BKHT</t>
  </si>
  <si>
    <t>M SKYFORM HALF ZIP</t>
  </si>
  <si>
    <t>BLACK HTR</t>
  </si>
  <si>
    <t>1178472-PBB</t>
  </si>
  <si>
    <t>PEBBLE GREY HTR</t>
  </si>
  <si>
    <t>1178473-BKHT</t>
  </si>
  <si>
    <t>W SKYFORM HALF ZIP</t>
  </si>
  <si>
    <t>1178473-NWB</t>
  </si>
  <si>
    <t>NIGHT GLOW BLUE HTR</t>
  </si>
  <si>
    <t>M SKYFLOW WIND JACKET</t>
  </si>
  <si>
    <t>1178655-CWYS</t>
  </si>
  <si>
    <t>CARAWAY SEED</t>
  </si>
  <si>
    <t>W SKYFLOW WIND JACKET</t>
  </si>
  <si>
    <t>1178656-OTML</t>
  </si>
  <si>
    <t>OAT MILK</t>
  </si>
  <si>
    <t>1178671-SQDNK</t>
  </si>
  <si>
    <t>W SKYBREEZE CROP TANK</t>
  </si>
  <si>
    <t>1181992-WHTM</t>
  </si>
  <si>
    <t>M EVERYRUN TANK JOY PRT</t>
  </si>
  <si>
    <t>WHITE/MULTI</t>
  </si>
  <si>
    <t>1181994-WHTM</t>
  </si>
  <si>
    <t>M EVERYRUN SS JOY PRT</t>
  </si>
  <si>
    <t>1181995-WHTM</t>
  </si>
  <si>
    <t>W EVERYRUN SS JOY PRT</t>
  </si>
  <si>
    <t>1182011-BLCKW</t>
  </si>
  <si>
    <t>M EVERYRUN SS CLF PRT</t>
  </si>
  <si>
    <t>BLACK / WHITE PRT</t>
  </si>
  <si>
    <t>1182012-BLCKW</t>
  </si>
  <si>
    <t>M GLIDE SHORT 5'' BRIEF CLF PRT</t>
  </si>
  <si>
    <t>1182014-BQD</t>
  </si>
  <si>
    <t>W EVERYRUN TANK CLF PRT</t>
  </si>
  <si>
    <t>BLACK / SQUID INK PRT</t>
  </si>
  <si>
    <t>1181993-WHTM</t>
  </si>
  <si>
    <t>W EVERYRUN TANK JOY PRT</t>
  </si>
  <si>
    <t>1182015-BQD</t>
  </si>
  <si>
    <t>W EVERYRUN SS CLF PRT</t>
  </si>
  <si>
    <t>1182017-BQD</t>
  </si>
  <si>
    <t>W GLIDE SHORT MR 5'' 2IN1 CLFPRT</t>
  </si>
  <si>
    <t>1183190-BLK</t>
  </si>
  <si>
    <t>Unisex</t>
  </si>
  <si>
    <t>U MOSAIC LOGO CTN SS TEE</t>
  </si>
  <si>
    <t>1122930-BBBLC</t>
  </si>
  <si>
    <t>U NO-SHOW RUN SOCK 3-PACK</t>
  </si>
  <si>
    <t>BLACK / BLACK / BLACK</t>
  </si>
  <si>
    <t>1122930-WBGR</t>
  </si>
  <si>
    <t>WHITE / BLACK / GREY</t>
  </si>
  <si>
    <t>HOKA CITRUS / POMELO YELLOW / MSTD SEED</t>
  </si>
  <si>
    <t>1122931-BBBLC</t>
  </si>
  <si>
    <t>U CREW RUN SOCK 3-PACK</t>
  </si>
  <si>
    <t>1122931-HYL</t>
  </si>
  <si>
    <t>1164330-BLK</t>
  </si>
  <si>
    <t>U HOKA RUN HAT</t>
  </si>
  <si>
    <t>1164330-HZY</t>
  </si>
  <si>
    <t>HAZY BLUE</t>
  </si>
  <si>
    <t>1164330-VTLV</t>
  </si>
  <si>
    <t>VIRTUAL VIOLET</t>
  </si>
  <si>
    <t>1164330-WHT</t>
  </si>
  <si>
    <t>1164333-BLK</t>
  </si>
  <si>
    <t>U CLIFTON CREW RUN SOCK</t>
  </si>
  <si>
    <t>1164333-GLMM</t>
  </si>
  <si>
    <t>GLIMMERING BLUE</t>
  </si>
  <si>
    <t>1164333-WHT</t>
  </si>
  <si>
    <t>1164930-BLK</t>
  </si>
  <si>
    <t>U HOKA RUN BELT</t>
  </si>
  <si>
    <t>1164930-EYL</t>
  </si>
  <si>
    <t>EGG YOLK</t>
  </si>
  <si>
    <t>1164930-VTLV</t>
  </si>
  <si>
    <t>1170330-BLK</t>
  </si>
  <si>
    <t>U TRAIL RUN HAT</t>
  </si>
  <si>
    <t>1170330-CRS</t>
  </si>
  <si>
    <t>CERISE</t>
  </si>
  <si>
    <t>1170330-HKCT</t>
  </si>
  <si>
    <t>HOKA CITRUS</t>
  </si>
  <si>
    <t>1173950-HZY</t>
  </si>
  <si>
    <t>U ADVENTURE HAT 2.0</t>
  </si>
  <si>
    <t>1173950-STN</t>
  </si>
  <si>
    <t>STONE</t>
  </si>
  <si>
    <t>1173951-BLK</t>
  </si>
  <si>
    <t>U RACE DAY ARM SLEEVE</t>
  </si>
  <si>
    <t>1173952-BBBLC</t>
  </si>
  <si>
    <t>U QUARTER RUN SOCK 3-PACK</t>
  </si>
  <si>
    <t>1173952-WBGR</t>
  </si>
  <si>
    <t>1173952-EGY</t>
  </si>
  <si>
    <t>EGG YOLK / CERISE / VIRTUAL VIOLET</t>
  </si>
  <si>
    <t>1173970-BLK</t>
  </si>
  <si>
    <t>U RACE DAY CREW SOCK</t>
  </si>
  <si>
    <t>1173970-NNYZ</t>
  </si>
  <si>
    <t>NEON YUZU</t>
  </si>
  <si>
    <t>1173970-WHT</t>
  </si>
  <si>
    <t>1182034-CLRB</t>
  </si>
  <si>
    <t>U HOKA RUN HAT JOY PRT</t>
  </si>
  <si>
    <t>COLOR BLOCK</t>
  </si>
  <si>
    <t>1170332-HKCT</t>
  </si>
  <si>
    <t>U TRAIL RUN CREW SOCK</t>
  </si>
  <si>
    <t>1170332-BLK</t>
  </si>
  <si>
    <t>1175856-RDG</t>
  </si>
  <si>
    <t>1175570-SQDNK</t>
  </si>
  <si>
    <t>U HOKA TRAIL RUN VEST 10L</t>
  </si>
  <si>
    <t>1176790-WHT</t>
  </si>
  <si>
    <t>U HOKA TRAIL RUN VEST 8L</t>
  </si>
  <si>
    <t>1164330-DVR</t>
  </si>
  <si>
    <t>DEEP MAUVE / RED AGATE</t>
  </si>
  <si>
    <t>1164330-EYL</t>
  </si>
  <si>
    <t>1175811-TRNS</t>
  </si>
  <si>
    <t>U HOKA SOFT FLASK 500ML</t>
  </si>
  <si>
    <t>TRANSLUCENT</t>
  </si>
  <si>
    <t>MARKETING</t>
  </si>
  <si>
    <t>Collection</t>
  </si>
  <si>
    <t>Planning Category</t>
  </si>
  <si>
    <t>Planning Sub Category</t>
  </si>
  <si>
    <t>Color Story</t>
  </si>
  <si>
    <t>Activewear</t>
  </si>
  <si>
    <t>Road</t>
  </si>
  <si>
    <t>Everyday Road</t>
  </si>
  <si>
    <t>Fitness</t>
  </si>
  <si>
    <t>Training</t>
  </si>
  <si>
    <t>Road Race</t>
  </si>
  <si>
    <t>Lifestyle</t>
  </si>
  <si>
    <t>Recovery</t>
  </si>
  <si>
    <t>Everyday Recovery</t>
  </si>
  <si>
    <t>Outerwear</t>
  </si>
  <si>
    <t>Trail</t>
  </si>
  <si>
    <t>Trail Race</t>
  </si>
  <si>
    <t>Accessories</t>
  </si>
  <si>
    <t>Socks</t>
  </si>
  <si>
    <t>No Show</t>
  </si>
  <si>
    <t>Crew</t>
  </si>
  <si>
    <t>Headwear</t>
  </si>
  <si>
    <t>Run Hat</t>
  </si>
  <si>
    <t>Bags</t>
  </si>
  <si>
    <t>Run Belt</t>
  </si>
  <si>
    <t>Bucket Hat</t>
  </si>
  <si>
    <t>Soft Goods</t>
  </si>
  <si>
    <t>Arm Sleeves</t>
  </si>
  <si>
    <t>Quarter</t>
  </si>
  <si>
    <t>Hydration</t>
  </si>
  <si>
    <t>Flask</t>
  </si>
  <si>
    <t>Legacy</t>
  </si>
  <si>
    <t>Grit</t>
  </si>
  <si>
    <t>Athlete</t>
  </si>
  <si>
    <t>Joy</t>
  </si>
  <si>
    <t>Sportlab</t>
  </si>
  <si>
    <t>Hoka Apparel &amp; Accs Size chart</t>
  </si>
  <si>
    <t>MENS</t>
  </si>
  <si>
    <t>A</t>
  </si>
  <si>
    <t>B</t>
  </si>
  <si>
    <t>WOMENS</t>
  </si>
  <si>
    <t>C</t>
  </si>
  <si>
    <t>OSFA</t>
  </si>
  <si>
    <t xml:space="preserve">MOQ </t>
  </si>
  <si>
    <t>Hats</t>
  </si>
  <si>
    <t>Visors</t>
  </si>
  <si>
    <t>Soft Flask</t>
  </si>
  <si>
    <t>Project Type</t>
  </si>
  <si>
    <t>CO</t>
  </si>
  <si>
    <t>CU</t>
  </si>
  <si>
    <t>New</t>
  </si>
  <si>
    <t>WHS</t>
  </si>
  <si>
    <t>TOTAL</t>
  </si>
  <si>
    <t>PACK</t>
  </si>
  <si>
    <t>S/M</t>
  </si>
  <si>
    <t>M/L</t>
  </si>
  <si>
    <t>ADVENTURE HAT</t>
  </si>
  <si>
    <t>SOCKS / RUN BELT / TRAIL VEST/ARM SLEEVE</t>
  </si>
  <si>
    <t>ORDER UNITS</t>
  </si>
  <si>
    <t>HOKA F26 Apparel &amp; Accesories - Order Form</t>
  </si>
  <si>
    <t>1182018-HSP</t>
  </si>
  <si>
    <t>M RACE DAY SHORT SLEEVE TR PRT</t>
  </si>
  <si>
    <t>HOKA CITRUS PRT</t>
  </si>
  <si>
    <t>W RACE DAY SHORT SLEEVE TR PRT</t>
  </si>
  <si>
    <t>1182019-HSP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</si>
</sst>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FF"/>
      <name val="Calibri"/>
      <family val="2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FF0000"/>
      <name val="Calibri"/>
      <family val="2"/>
    </font>
    <font>
      <b/>
      <sz val="10"/>
      <name val="Calibri"/>
      <family val="2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DBFE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/>
    <xf numFmtId="0" fontId="1" fillId="2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6" fillId="0" borderId="2" xfId="1" applyBorder="1" applyAlignment="1">
      <alignment horizontal="center"/>
    </xf>
    <xf numFmtId="0" fontId="1" fillId="3" borderId="2" xfId="1" applyFont="1" applyFill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6" fillId="0" borderId="0" xfId="1" applyAlignment="1">
      <alignment horizontal="center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1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9" fillId="6" borderId="0" xfId="0" applyFont="1" applyFill="1"/>
    <xf numFmtId="0" fontId="5" fillId="0" borderId="0" xfId="0" applyFont="1"/>
    <xf numFmtId="3" fontId="0" fillId="0" borderId="0" xfId="0" applyNumberFormat="1"/>
    <xf numFmtId="0" fontId="1" fillId="6" borderId="2" xfId="1" applyFont="1" applyFill="1" applyBorder="1" applyAlignment="1">
      <alignment horizontal="center" vertical="center"/>
    </xf>
    <xf numFmtId="0" fontId="1" fillId="7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0" borderId="2" xfId="1" applyBorder="1"/>
    <xf numFmtId="0" fontId="8" fillId="0" borderId="0" xfId="1" applyFont="1"/>
    <xf numFmtId="164" fontId="2" fillId="8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12" fillId="0" borderId="0" xfId="0" applyFont="1"/>
    <xf numFmtId="4" fontId="0" fillId="0" borderId="0" xfId="0" applyNumberFormat="1"/>
    <xf numFmtId="2" fontId="0" fillId="0" borderId="0" xfId="0" applyNumberFormat="1"/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58794921-438D-499C-9F0B-8AD17C53547B}"/>
  </cellStyles>
  <dxfs count="0"/>
  <tableStyles count="0" defaultTableStyle="TableStyleMedium2" defaultPivotStyle="PivotStyleLight16"/>
  <colors>
    <mruColors>
      <color rgb="FF0000FF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0</xdr:col>
      <xdr:colOff>1600588</xdr:colOff>
      <xdr:row>3</xdr:row>
      <xdr:rowOff>1702753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3DAFA04-1B53-418F-A9CF-4B59C9DC7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46075"/>
          <a:ext cx="1591063" cy="16868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</xdr:row>
      <xdr:rowOff>9525</xdr:rowOff>
    </xdr:from>
    <xdr:to>
      <xdr:col>0</xdr:col>
      <xdr:colOff>1600588</xdr:colOff>
      <xdr:row>4</xdr:row>
      <xdr:rowOff>4850268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35EBE04E-7698-417D-A6DD-431D75BD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041525"/>
          <a:ext cx="1591063" cy="483439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0</xdr:col>
      <xdr:colOff>1600588</xdr:colOff>
      <xdr:row>5</xdr:row>
      <xdr:rowOff>2026061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FAA75DA2-6191-4918-8CA1-1877C347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6886575"/>
          <a:ext cx="1591063" cy="201018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</xdr:row>
      <xdr:rowOff>9525</xdr:rowOff>
    </xdr:from>
    <xdr:to>
      <xdr:col>0</xdr:col>
      <xdr:colOff>1600588</xdr:colOff>
      <xdr:row>6</xdr:row>
      <xdr:rowOff>2581594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BF6694DB-4D1E-4923-994B-154CF6574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8905875"/>
          <a:ext cx="1591063" cy="256571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</xdr:row>
      <xdr:rowOff>9525</xdr:rowOff>
    </xdr:from>
    <xdr:to>
      <xdr:col>0</xdr:col>
      <xdr:colOff>1600588</xdr:colOff>
      <xdr:row>7</xdr:row>
      <xdr:rowOff>2581594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AF388C59-7802-4D28-8F45-718F560B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14398625"/>
          <a:ext cx="1591063" cy="256571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9525</xdr:rowOff>
    </xdr:from>
    <xdr:to>
      <xdr:col>0</xdr:col>
      <xdr:colOff>1600588</xdr:colOff>
      <xdr:row>8</xdr:row>
      <xdr:rowOff>3078054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F63BC399-7D58-43D5-B063-013F444A9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19554825"/>
          <a:ext cx="1591063" cy="30621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</xdr:row>
      <xdr:rowOff>9525</xdr:rowOff>
    </xdr:from>
    <xdr:to>
      <xdr:col>0</xdr:col>
      <xdr:colOff>1600588</xdr:colOff>
      <xdr:row>9</xdr:row>
      <xdr:rowOff>2106037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607D13F4-A11A-4E57-B07F-53151FBD8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22628225"/>
          <a:ext cx="1591063" cy="20901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</xdr:row>
      <xdr:rowOff>9525</xdr:rowOff>
    </xdr:from>
    <xdr:to>
      <xdr:col>0</xdr:col>
      <xdr:colOff>1600588</xdr:colOff>
      <xdr:row>10</xdr:row>
      <xdr:rowOff>1408518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449A52D3-6CC3-498E-95FE-6DF482972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24730075"/>
          <a:ext cx="1591063" cy="138629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</xdr:row>
      <xdr:rowOff>9525</xdr:rowOff>
    </xdr:from>
    <xdr:to>
      <xdr:col>0</xdr:col>
      <xdr:colOff>1600588</xdr:colOff>
      <xdr:row>11</xdr:row>
      <xdr:rowOff>1905462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7559020A-0574-4163-91C0-5EFCA4B93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2646362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</xdr:row>
      <xdr:rowOff>9525</xdr:rowOff>
    </xdr:from>
    <xdr:to>
      <xdr:col>0</xdr:col>
      <xdr:colOff>1600588</xdr:colOff>
      <xdr:row>12</xdr:row>
      <xdr:rowOff>1905462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F72F570F-3484-4DC3-B2FD-332FE0FD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" y="2836862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</xdr:row>
      <xdr:rowOff>9525</xdr:rowOff>
    </xdr:from>
    <xdr:to>
      <xdr:col>0</xdr:col>
      <xdr:colOff>1600588</xdr:colOff>
      <xdr:row>13</xdr:row>
      <xdr:rowOff>1839757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449345C6-CB20-4B27-B634-3AC62342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" y="30273625"/>
          <a:ext cx="1591063" cy="182388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1600588</xdr:colOff>
      <xdr:row>14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52A8B52C-DA53-474F-B4EF-D559F0B46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" y="321087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</xdr:row>
      <xdr:rowOff>9525</xdr:rowOff>
    </xdr:from>
    <xdr:to>
      <xdr:col>0</xdr:col>
      <xdr:colOff>1600588</xdr:colOff>
      <xdr:row>14</xdr:row>
      <xdr:rowOff>1905462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6601B471-C414-475F-A7D3-F6569EDF1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" y="340137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</xdr:row>
      <xdr:rowOff>9525</xdr:rowOff>
    </xdr:from>
    <xdr:to>
      <xdr:col>0</xdr:col>
      <xdr:colOff>1600588</xdr:colOff>
      <xdr:row>15</xdr:row>
      <xdr:rowOff>1883045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7F720A6A-F31E-4CF3-9CFA-B371772C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" y="362553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</xdr:row>
      <xdr:rowOff>9525</xdr:rowOff>
    </xdr:from>
    <xdr:to>
      <xdr:col>0</xdr:col>
      <xdr:colOff>1600588</xdr:colOff>
      <xdr:row>16</xdr:row>
      <xdr:rowOff>1883045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493C4DE-80A4-4006-88CF-211677CC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" y="3812857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</xdr:row>
      <xdr:rowOff>9525</xdr:rowOff>
    </xdr:from>
    <xdr:to>
      <xdr:col>0</xdr:col>
      <xdr:colOff>1600588</xdr:colOff>
      <xdr:row>17</xdr:row>
      <xdr:rowOff>1883045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74CCDF15-1B85-4FEC-A964-252EB14E1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" y="400018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18</xdr:row>
      <xdr:rowOff>9525</xdr:rowOff>
    </xdr:from>
    <xdr:to>
      <xdr:col>0</xdr:col>
      <xdr:colOff>1600588</xdr:colOff>
      <xdr:row>18</xdr:row>
      <xdr:rowOff>3138409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BB49BF98-7227-4B49-A4EE-54C31FF4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5" y="41875075"/>
          <a:ext cx="1591063" cy="3122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</xdr:row>
      <xdr:rowOff>9525</xdr:rowOff>
    </xdr:from>
    <xdr:to>
      <xdr:col>0</xdr:col>
      <xdr:colOff>1600588</xdr:colOff>
      <xdr:row>19</xdr:row>
      <xdr:rowOff>3138409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62210806-10AC-4466-AE38-C7ED59F13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" y="45005625"/>
          <a:ext cx="1591063" cy="3122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</xdr:row>
      <xdr:rowOff>9525</xdr:rowOff>
    </xdr:from>
    <xdr:to>
      <xdr:col>0</xdr:col>
      <xdr:colOff>1600588</xdr:colOff>
      <xdr:row>20</xdr:row>
      <xdr:rowOff>3138409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F682B216-3D9D-46A0-9D3D-D3854E570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" y="48472725"/>
          <a:ext cx="1591063" cy="3122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</xdr:row>
      <xdr:rowOff>9525</xdr:rowOff>
    </xdr:from>
    <xdr:to>
      <xdr:col>0</xdr:col>
      <xdr:colOff>1600588</xdr:colOff>
      <xdr:row>21</xdr:row>
      <xdr:rowOff>1905462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6C4E0C-C6A7-4295-B599-38DC90E7F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25" y="516032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</xdr:row>
      <xdr:rowOff>9525</xdr:rowOff>
    </xdr:from>
    <xdr:to>
      <xdr:col>0</xdr:col>
      <xdr:colOff>1600588</xdr:colOff>
      <xdr:row>22</xdr:row>
      <xdr:rowOff>1905462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3000172B-DF28-4E85-886D-C274BCA5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525" y="535082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9525</xdr:rowOff>
    </xdr:from>
    <xdr:to>
      <xdr:col>0</xdr:col>
      <xdr:colOff>1600588</xdr:colOff>
      <xdr:row>23</xdr:row>
      <xdr:rowOff>1905462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22B6DA2-EBF6-400B-8D96-02D79F716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525" y="554132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</xdr:row>
      <xdr:rowOff>9525</xdr:rowOff>
    </xdr:from>
    <xdr:to>
      <xdr:col>0</xdr:col>
      <xdr:colOff>1600588</xdr:colOff>
      <xdr:row>24</xdr:row>
      <xdr:rowOff>1905462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22AB5951-230C-423A-9F4D-CD16584A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25" y="5731827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</xdr:row>
      <xdr:rowOff>9525</xdr:rowOff>
    </xdr:from>
    <xdr:to>
      <xdr:col>0</xdr:col>
      <xdr:colOff>1600588</xdr:colOff>
      <xdr:row>25</xdr:row>
      <xdr:rowOff>1905462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28504F8-AE0F-4E18-9F71-C6F6A0DD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" y="5955982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9525</xdr:rowOff>
    </xdr:from>
    <xdr:to>
      <xdr:col>0</xdr:col>
      <xdr:colOff>1600588</xdr:colOff>
      <xdr:row>26</xdr:row>
      <xdr:rowOff>1818850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CD8944C7-E2DC-4E34-8791-A01CCF7B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25" y="61464825"/>
          <a:ext cx="1591063" cy="1802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</xdr:row>
      <xdr:rowOff>9525</xdr:rowOff>
    </xdr:from>
    <xdr:to>
      <xdr:col>0</xdr:col>
      <xdr:colOff>1600588</xdr:colOff>
      <xdr:row>27</xdr:row>
      <xdr:rowOff>1818850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9488AE9A-C0F4-42CE-870A-E3C6F7004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25" y="63274575"/>
          <a:ext cx="1591063" cy="1802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</xdr:row>
      <xdr:rowOff>9525</xdr:rowOff>
    </xdr:from>
    <xdr:to>
      <xdr:col>0</xdr:col>
      <xdr:colOff>1600588</xdr:colOff>
      <xdr:row>28</xdr:row>
      <xdr:rowOff>1818850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A2B90B8-D836-45BA-8D63-1E106E5D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" y="65084325"/>
          <a:ext cx="1591063" cy="1802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</xdr:row>
      <xdr:rowOff>9525</xdr:rowOff>
    </xdr:from>
    <xdr:to>
      <xdr:col>0</xdr:col>
      <xdr:colOff>1600588</xdr:colOff>
      <xdr:row>29</xdr:row>
      <xdr:rowOff>2759635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A4D9E725-71C5-449C-AA17-B611F67A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525" y="66894075"/>
          <a:ext cx="1591063" cy="27374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30</xdr:row>
      <xdr:rowOff>9525</xdr:rowOff>
    </xdr:from>
    <xdr:to>
      <xdr:col>0</xdr:col>
      <xdr:colOff>1600588</xdr:colOff>
      <xdr:row>30</xdr:row>
      <xdr:rowOff>2759635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EA83D9FF-6D9C-435E-8ACB-0C42FCA0C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" y="69980175"/>
          <a:ext cx="1591063" cy="27374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31</xdr:row>
      <xdr:rowOff>9525</xdr:rowOff>
    </xdr:from>
    <xdr:to>
      <xdr:col>0</xdr:col>
      <xdr:colOff>1600588</xdr:colOff>
      <xdr:row>31</xdr:row>
      <xdr:rowOff>2759635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D25FD836-3715-4AEE-BD27-438765F2A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5" y="72729725"/>
          <a:ext cx="1591063" cy="27374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</xdr:row>
      <xdr:rowOff>9525</xdr:rowOff>
    </xdr:from>
    <xdr:to>
      <xdr:col>0</xdr:col>
      <xdr:colOff>1600588</xdr:colOff>
      <xdr:row>32</xdr:row>
      <xdr:rowOff>1883045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168AC887-5C16-4579-8F42-CAD58E51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525" y="7547927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</xdr:row>
      <xdr:rowOff>9525</xdr:rowOff>
    </xdr:from>
    <xdr:to>
      <xdr:col>0</xdr:col>
      <xdr:colOff>1600588</xdr:colOff>
      <xdr:row>33</xdr:row>
      <xdr:rowOff>1883045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FFF5A344-C421-41A1-B232-2C161365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525" y="773525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</xdr:row>
      <xdr:rowOff>9525</xdr:rowOff>
    </xdr:from>
    <xdr:to>
      <xdr:col>0</xdr:col>
      <xdr:colOff>1600588</xdr:colOff>
      <xdr:row>35</xdr:row>
      <xdr:rowOff>1883045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E0778EA3-B30E-4A1E-9407-E9AFE682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25" y="7922577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</xdr:row>
      <xdr:rowOff>9525</xdr:rowOff>
    </xdr:from>
    <xdr:to>
      <xdr:col>0</xdr:col>
      <xdr:colOff>1600588</xdr:colOff>
      <xdr:row>36</xdr:row>
      <xdr:rowOff>1758888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D273B3A3-E13E-4A34-BFC2-6595E12C6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25" y="83188175"/>
          <a:ext cx="1591063" cy="17430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</xdr:row>
      <xdr:rowOff>9525</xdr:rowOff>
    </xdr:from>
    <xdr:to>
      <xdr:col>0</xdr:col>
      <xdr:colOff>1600588</xdr:colOff>
      <xdr:row>37</xdr:row>
      <xdr:rowOff>1758888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3C909F7D-26A1-4BA3-9751-04D0D8723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25" y="84940775"/>
          <a:ext cx="1591063" cy="17430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</xdr:row>
      <xdr:rowOff>9525</xdr:rowOff>
    </xdr:from>
    <xdr:to>
      <xdr:col>0</xdr:col>
      <xdr:colOff>1600588</xdr:colOff>
      <xdr:row>38</xdr:row>
      <xdr:rowOff>1758888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5D8EDB48-69C6-4F0D-8E97-776A31C7F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525" y="86693375"/>
          <a:ext cx="1591063" cy="17430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</xdr:row>
      <xdr:rowOff>9525</xdr:rowOff>
    </xdr:from>
    <xdr:to>
      <xdr:col>0</xdr:col>
      <xdr:colOff>1600588</xdr:colOff>
      <xdr:row>41</xdr:row>
      <xdr:rowOff>1861149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D0387074-393B-4855-8785-867A56118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525" y="88445975"/>
          <a:ext cx="1591063" cy="184527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</xdr:row>
      <xdr:rowOff>9525</xdr:rowOff>
    </xdr:from>
    <xdr:to>
      <xdr:col>0</xdr:col>
      <xdr:colOff>1600588</xdr:colOff>
      <xdr:row>42</xdr:row>
      <xdr:rowOff>1928420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B1F0A575-AD17-4744-B1BF-8CD21E89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525" y="90636725"/>
          <a:ext cx="1591063" cy="191254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</xdr:row>
      <xdr:rowOff>9525</xdr:rowOff>
    </xdr:from>
    <xdr:to>
      <xdr:col>0</xdr:col>
      <xdr:colOff>1600588</xdr:colOff>
      <xdr:row>43</xdr:row>
      <xdr:rowOff>1861149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534E1EDC-3728-452A-9183-28180251B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525" y="92560775"/>
          <a:ext cx="1591063" cy="184527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</xdr:row>
      <xdr:rowOff>9525</xdr:rowOff>
    </xdr:from>
    <xdr:to>
      <xdr:col>0</xdr:col>
      <xdr:colOff>1600588</xdr:colOff>
      <xdr:row>44</xdr:row>
      <xdr:rowOff>1702753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6758090F-61A7-47ED-92B2-FF2DE36D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525" y="94414975"/>
          <a:ext cx="1591063" cy="16868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</xdr:row>
      <xdr:rowOff>9525</xdr:rowOff>
    </xdr:from>
    <xdr:to>
      <xdr:col>0</xdr:col>
      <xdr:colOff>1600588</xdr:colOff>
      <xdr:row>45</xdr:row>
      <xdr:rowOff>1758888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A0866B77-FEC6-49FC-9EA0-5A2322F3E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525" y="97863025"/>
          <a:ext cx="1591063" cy="17430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46</xdr:row>
      <xdr:rowOff>9525</xdr:rowOff>
    </xdr:from>
    <xdr:to>
      <xdr:col>0</xdr:col>
      <xdr:colOff>1600588</xdr:colOff>
      <xdr:row>46</xdr:row>
      <xdr:rowOff>1667279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1E38C118-6111-4472-A0D7-77D947C7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525" y="99952175"/>
          <a:ext cx="1591063" cy="16514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</xdr:row>
      <xdr:rowOff>9525</xdr:rowOff>
    </xdr:from>
    <xdr:to>
      <xdr:col>0</xdr:col>
      <xdr:colOff>1600588</xdr:colOff>
      <xdr:row>47</xdr:row>
      <xdr:rowOff>2000735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E08582B5-EF2D-46B6-A779-BDEB793D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525" y="101615875"/>
          <a:ext cx="1591063" cy="19912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</xdr:row>
      <xdr:rowOff>9525</xdr:rowOff>
    </xdr:from>
    <xdr:to>
      <xdr:col>0</xdr:col>
      <xdr:colOff>1600588</xdr:colOff>
      <xdr:row>48</xdr:row>
      <xdr:rowOff>1883045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D781A22F-DD80-4D93-9824-352CF875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525" y="1036161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49</xdr:row>
      <xdr:rowOff>9525</xdr:rowOff>
    </xdr:from>
    <xdr:to>
      <xdr:col>0</xdr:col>
      <xdr:colOff>1600588</xdr:colOff>
      <xdr:row>49</xdr:row>
      <xdr:rowOff>2192587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244B751D-9E2D-434E-86EB-7AC9434D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25" y="105489375"/>
          <a:ext cx="1591063" cy="2183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</xdr:row>
      <xdr:rowOff>9525</xdr:rowOff>
    </xdr:from>
    <xdr:to>
      <xdr:col>0</xdr:col>
      <xdr:colOff>1600588</xdr:colOff>
      <xdr:row>50</xdr:row>
      <xdr:rowOff>2223039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BB55172E-2A40-4E12-A5DD-E91470C73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525" y="107680125"/>
          <a:ext cx="1591063" cy="220716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</xdr:row>
      <xdr:rowOff>9525</xdr:rowOff>
    </xdr:from>
    <xdr:to>
      <xdr:col>0</xdr:col>
      <xdr:colOff>1600588</xdr:colOff>
      <xdr:row>51</xdr:row>
      <xdr:rowOff>1951937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34999659-A4F6-4970-A774-34A17AAC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525" y="112334675"/>
          <a:ext cx="1591063" cy="1936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</xdr:row>
      <xdr:rowOff>9525</xdr:rowOff>
    </xdr:from>
    <xdr:to>
      <xdr:col>0</xdr:col>
      <xdr:colOff>1600588</xdr:colOff>
      <xdr:row>52</xdr:row>
      <xdr:rowOff>1951937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C3E2772D-8048-4D18-9EDF-C5A7BB58E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525" y="114277775"/>
          <a:ext cx="1591063" cy="1936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</xdr:row>
      <xdr:rowOff>0</xdr:rowOff>
    </xdr:from>
    <xdr:to>
      <xdr:col>0</xdr:col>
      <xdr:colOff>1600588</xdr:colOff>
      <xdr:row>53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DE5FA4B2-F08F-4222-A583-F8B1465C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525" y="116220875"/>
          <a:ext cx="1591063" cy="1936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</xdr:row>
      <xdr:rowOff>9525</xdr:rowOff>
    </xdr:from>
    <xdr:to>
      <xdr:col>0</xdr:col>
      <xdr:colOff>1600588</xdr:colOff>
      <xdr:row>53</xdr:row>
      <xdr:rowOff>1951937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BAF52D43-8695-48D0-9106-D587FED3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525" y="118163975"/>
          <a:ext cx="1591063" cy="1936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</xdr:row>
      <xdr:rowOff>9525</xdr:rowOff>
    </xdr:from>
    <xdr:to>
      <xdr:col>0</xdr:col>
      <xdr:colOff>1600588</xdr:colOff>
      <xdr:row>54</xdr:row>
      <xdr:rowOff>1951937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87FCF6DA-A039-4D32-83D5-F710BB7E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525" y="120443625"/>
          <a:ext cx="1591063" cy="1936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</xdr:row>
      <xdr:rowOff>0</xdr:rowOff>
    </xdr:from>
    <xdr:to>
      <xdr:col>0</xdr:col>
      <xdr:colOff>1600588</xdr:colOff>
      <xdr:row>55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ABD27501-D5C9-4765-AD1A-8CB35E3F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525" y="122386725"/>
          <a:ext cx="1591063" cy="26080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</xdr:row>
      <xdr:rowOff>9525</xdr:rowOff>
    </xdr:from>
    <xdr:to>
      <xdr:col>0</xdr:col>
      <xdr:colOff>1600588</xdr:colOff>
      <xdr:row>55</xdr:row>
      <xdr:rowOff>2623915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F7C81BEA-BC6B-4715-8BDF-D23D95E0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525" y="125002925"/>
          <a:ext cx="1591063" cy="26080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</xdr:row>
      <xdr:rowOff>9525</xdr:rowOff>
    </xdr:from>
    <xdr:to>
      <xdr:col>0</xdr:col>
      <xdr:colOff>1600588</xdr:colOff>
      <xdr:row>56</xdr:row>
      <xdr:rowOff>2462444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DB1073FD-EAA7-4BB9-B505-6DAE1EA2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525" y="135486775"/>
          <a:ext cx="1591063" cy="24465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</xdr:row>
      <xdr:rowOff>9525</xdr:rowOff>
    </xdr:from>
    <xdr:to>
      <xdr:col>0</xdr:col>
      <xdr:colOff>1600588</xdr:colOff>
      <xdr:row>57</xdr:row>
      <xdr:rowOff>1839757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B0FF45D4-5227-4377-8F94-DAA74EE02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525" y="137944225"/>
          <a:ext cx="1591063" cy="182388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58</xdr:row>
      <xdr:rowOff>9525</xdr:rowOff>
    </xdr:from>
    <xdr:to>
      <xdr:col>0</xdr:col>
      <xdr:colOff>1600588</xdr:colOff>
      <xdr:row>58</xdr:row>
      <xdr:rowOff>1488547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F74CF705-CF25-4AC7-B39F-A15AFD8E2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525" y="139779375"/>
          <a:ext cx="1591063" cy="147902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</xdr:row>
      <xdr:rowOff>9525</xdr:rowOff>
    </xdr:from>
    <xdr:to>
      <xdr:col>0</xdr:col>
      <xdr:colOff>1600588</xdr:colOff>
      <xdr:row>59</xdr:row>
      <xdr:rowOff>944347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887AE428-E012-46E8-AD3A-E3C1A57D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525" y="141265275"/>
          <a:ext cx="1591063" cy="92847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60</xdr:row>
      <xdr:rowOff>9525</xdr:rowOff>
    </xdr:from>
    <xdr:to>
      <xdr:col>0</xdr:col>
      <xdr:colOff>1600588</xdr:colOff>
      <xdr:row>60</xdr:row>
      <xdr:rowOff>944347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19D912C2-5531-46C9-886E-40CF2BB7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525" y="142541625"/>
          <a:ext cx="1591063" cy="92847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</xdr:row>
      <xdr:rowOff>9525</xdr:rowOff>
    </xdr:from>
    <xdr:to>
      <xdr:col>0</xdr:col>
      <xdr:colOff>1600588</xdr:colOff>
      <xdr:row>61</xdr:row>
      <xdr:rowOff>1905462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C3EFFFC6-38B4-4A91-999D-3447A1F5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525" y="143481425"/>
          <a:ext cx="1591063" cy="189593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</xdr:row>
      <xdr:rowOff>9525</xdr:rowOff>
    </xdr:from>
    <xdr:to>
      <xdr:col>0</xdr:col>
      <xdr:colOff>1600588</xdr:colOff>
      <xdr:row>62</xdr:row>
      <xdr:rowOff>1883045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492778E1-19C6-4F19-886B-8FA33528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525" y="1453864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</xdr:row>
      <xdr:rowOff>9525</xdr:rowOff>
    </xdr:from>
    <xdr:to>
      <xdr:col>0</xdr:col>
      <xdr:colOff>1600588</xdr:colOff>
      <xdr:row>63</xdr:row>
      <xdr:rowOff>2759635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E211C2F5-3018-4605-A4D2-3B2247BC9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525" y="147259675"/>
          <a:ext cx="1591063" cy="27374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64</xdr:row>
      <xdr:rowOff>9525</xdr:rowOff>
    </xdr:from>
    <xdr:to>
      <xdr:col>0</xdr:col>
      <xdr:colOff>1600588</xdr:colOff>
      <xdr:row>64</xdr:row>
      <xdr:rowOff>1312482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455D4F53-666D-40AB-AB7C-59F8943A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525" y="150009225"/>
          <a:ext cx="1591063" cy="129025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65</xdr:row>
      <xdr:rowOff>9525</xdr:rowOff>
    </xdr:from>
    <xdr:to>
      <xdr:col>0</xdr:col>
      <xdr:colOff>1600588</xdr:colOff>
      <xdr:row>65</xdr:row>
      <xdr:rowOff>1883045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D8F89A8F-3F01-4E63-942F-539B7A07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525" y="1516475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66</xdr:row>
      <xdr:rowOff>9525</xdr:rowOff>
    </xdr:from>
    <xdr:to>
      <xdr:col>0</xdr:col>
      <xdr:colOff>1600588</xdr:colOff>
      <xdr:row>66</xdr:row>
      <xdr:rowOff>1798414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D0D183BF-29C5-4B7F-A2E8-EFA01A78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525" y="153520775"/>
          <a:ext cx="1591063" cy="178253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67</xdr:row>
      <xdr:rowOff>9525</xdr:rowOff>
    </xdr:from>
    <xdr:to>
      <xdr:col>0</xdr:col>
      <xdr:colOff>1600588</xdr:colOff>
      <xdr:row>67</xdr:row>
      <xdr:rowOff>1552571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E63E00EE-975F-419D-9F5D-E3A0065A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525" y="155311475"/>
          <a:ext cx="1591063" cy="153669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68</xdr:row>
      <xdr:rowOff>0</xdr:rowOff>
    </xdr:from>
    <xdr:to>
      <xdr:col>0</xdr:col>
      <xdr:colOff>1600588</xdr:colOff>
      <xdr:row>68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6FA5CAE9-A830-4850-96C5-245C477A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525" y="156854525"/>
          <a:ext cx="1591063" cy="153669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68</xdr:row>
      <xdr:rowOff>9525</xdr:rowOff>
    </xdr:from>
    <xdr:to>
      <xdr:col>0</xdr:col>
      <xdr:colOff>1600588</xdr:colOff>
      <xdr:row>68</xdr:row>
      <xdr:rowOff>1520559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83DDE084-EBD9-438C-AFAC-7277BE3E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525" y="158734125"/>
          <a:ext cx="1591063" cy="150468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69</xdr:row>
      <xdr:rowOff>9525</xdr:rowOff>
    </xdr:from>
    <xdr:to>
      <xdr:col>0</xdr:col>
      <xdr:colOff>1600588</xdr:colOff>
      <xdr:row>69</xdr:row>
      <xdr:rowOff>816300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6B1898D1-0D79-4C48-B815-8179E4B1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525" y="161617025"/>
          <a:ext cx="1591063" cy="7940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70</xdr:row>
      <xdr:rowOff>9525</xdr:rowOff>
    </xdr:from>
    <xdr:to>
      <xdr:col>0</xdr:col>
      <xdr:colOff>1600588</xdr:colOff>
      <xdr:row>70</xdr:row>
      <xdr:rowOff>2425134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E2D38B8C-519A-403D-90FB-46FD6714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525" y="163795075"/>
          <a:ext cx="1591063" cy="240925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71</xdr:row>
      <xdr:rowOff>9525</xdr:rowOff>
    </xdr:from>
    <xdr:to>
      <xdr:col>0</xdr:col>
      <xdr:colOff>1600588</xdr:colOff>
      <xdr:row>71</xdr:row>
      <xdr:rowOff>2388938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B02F9C9B-A37F-4AB9-838D-238EADF4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525" y="171503975"/>
          <a:ext cx="1591063" cy="237306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72</xdr:row>
      <xdr:rowOff>9525</xdr:rowOff>
    </xdr:from>
    <xdr:to>
      <xdr:col>0</xdr:col>
      <xdr:colOff>1600588</xdr:colOff>
      <xdr:row>72</xdr:row>
      <xdr:rowOff>832306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19FEA536-1ECB-4A9D-ABC2-1D5C89E1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525" y="174221775"/>
          <a:ext cx="1591063" cy="81643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73</xdr:row>
      <xdr:rowOff>9525</xdr:rowOff>
    </xdr:from>
    <xdr:to>
      <xdr:col>0</xdr:col>
      <xdr:colOff>1600588</xdr:colOff>
      <xdr:row>73</xdr:row>
      <xdr:rowOff>1040382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52F9A56D-7FC5-4857-86DC-EE3C9FC0B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525" y="175853725"/>
          <a:ext cx="1591063" cy="10245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74</xdr:row>
      <xdr:rowOff>9525</xdr:rowOff>
    </xdr:from>
    <xdr:to>
      <xdr:col>0</xdr:col>
      <xdr:colOff>1600588</xdr:colOff>
      <xdr:row>74</xdr:row>
      <xdr:rowOff>960353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4E908630-731F-43DE-8183-44086A580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525" y="176888775"/>
          <a:ext cx="1591063" cy="9444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75</xdr:row>
      <xdr:rowOff>9525</xdr:rowOff>
    </xdr:from>
    <xdr:to>
      <xdr:col>0</xdr:col>
      <xdr:colOff>1600588</xdr:colOff>
      <xdr:row>75</xdr:row>
      <xdr:rowOff>832306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611DF7BA-402D-405C-883C-6D742E2E4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525" y="177841275"/>
          <a:ext cx="1591063" cy="81643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76</xdr:row>
      <xdr:rowOff>9525</xdr:rowOff>
    </xdr:from>
    <xdr:to>
      <xdr:col>0</xdr:col>
      <xdr:colOff>1600588</xdr:colOff>
      <xdr:row>76</xdr:row>
      <xdr:rowOff>2425134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1C571DC1-EEE3-4181-99BE-41E8A335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525" y="179003325"/>
          <a:ext cx="1591063" cy="240925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77</xdr:row>
      <xdr:rowOff>9525</xdr:rowOff>
    </xdr:from>
    <xdr:to>
      <xdr:col>0</xdr:col>
      <xdr:colOff>1600588</xdr:colOff>
      <xdr:row>77</xdr:row>
      <xdr:rowOff>3903874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C2151D7E-F992-4238-851F-E8B181A1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525" y="181422675"/>
          <a:ext cx="1591063" cy="388164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78</xdr:row>
      <xdr:rowOff>9525</xdr:rowOff>
    </xdr:from>
    <xdr:to>
      <xdr:col>0</xdr:col>
      <xdr:colOff>1600588</xdr:colOff>
      <xdr:row>78</xdr:row>
      <xdr:rowOff>2500919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654ED423-2674-4864-9CC2-4BA06915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525" y="185315225"/>
          <a:ext cx="1591063" cy="248504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79</xdr:row>
      <xdr:rowOff>9525</xdr:rowOff>
    </xdr:from>
    <xdr:to>
      <xdr:col>0</xdr:col>
      <xdr:colOff>1600588</xdr:colOff>
      <xdr:row>79</xdr:row>
      <xdr:rowOff>768282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8A88C073-D63D-48E3-9F8A-87870992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525" y="18781077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80</xdr:row>
      <xdr:rowOff>9525</xdr:rowOff>
    </xdr:from>
    <xdr:to>
      <xdr:col>0</xdr:col>
      <xdr:colOff>1600588</xdr:colOff>
      <xdr:row>80</xdr:row>
      <xdr:rowOff>368135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7A4C78ED-367A-4AFE-8256-F737F95B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525" y="188572775"/>
          <a:ext cx="1591063" cy="3522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81</xdr:row>
      <xdr:rowOff>9525</xdr:rowOff>
    </xdr:from>
    <xdr:to>
      <xdr:col>0</xdr:col>
      <xdr:colOff>1600588</xdr:colOff>
      <xdr:row>81</xdr:row>
      <xdr:rowOff>368135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95126209-A268-4DB1-95CF-0EA13C116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525" y="189271275"/>
          <a:ext cx="1591063" cy="3522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82</xdr:row>
      <xdr:rowOff>9525</xdr:rowOff>
    </xdr:from>
    <xdr:to>
      <xdr:col>0</xdr:col>
      <xdr:colOff>1600588</xdr:colOff>
      <xdr:row>82</xdr:row>
      <xdr:rowOff>1040382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6754C1E9-CADF-43E0-AF88-6009FAC1B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525" y="192566925"/>
          <a:ext cx="1591063" cy="10245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83</xdr:row>
      <xdr:rowOff>9525</xdr:rowOff>
    </xdr:from>
    <xdr:to>
      <xdr:col>0</xdr:col>
      <xdr:colOff>1600588</xdr:colOff>
      <xdr:row>83</xdr:row>
      <xdr:rowOff>848311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E13152A5-27F6-4FBE-928F-2C913EA6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525" y="193601975"/>
          <a:ext cx="1591063" cy="83243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84</xdr:row>
      <xdr:rowOff>9525</xdr:rowOff>
    </xdr:from>
    <xdr:to>
      <xdr:col>0</xdr:col>
      <xdr:colOff>1600588</xdr:colOff>
      <xdr:row>84</xdr:row>
      <xdr:rowOff>848311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1E2AEEEC-F697-4449-B9FE-3A05FD917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525" y="194446525"/>
          <a:ext cx="1591063" cy="83243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85</xdr:row>
      <xdr:rowOff>9525</xdr:rowOff>
    </xdr:from>
    <xdr:to>
      <xdr:col>0</xdr:col>
      <xdr:colOff>1600588</xdr:colOff>
      <xdr:row>85</xdr:row>
      <xdr:rowOff>1883045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651157C9-27B0-4D1E-B0BD-2E3396F62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525" y="1969992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86</xdr:row>
      <xdr:rowOff>9525</xdr:rowOff>
    </xdr:from>
    <xdr:to>
      <xdr:col>0</xdr:col>
      <xdr:colOff>1600588</xdr:colOff>
      <xdr:row>86</xdr:row>
      <xdr:rowOff>1883045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778DC340-4EE9-4029-B181-3CAAC4EB8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525" y="19887247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87</xdr:row>
      <xdr:rowOff>9525</xdr:rowOff>
    </xdr:from>
    <xdr:to>
      <xdr:col>0</xdr:col>
      <xdr:colOff>1600588</xdr:colOff>
      <xdr:row>87</xdr:row>
      <xdr:rowOff>2353806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99A561EE-A37A-4754-8C8D-835101324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525" y="201082275"/>
          <a:ext cx="1591063" cy="233793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88</xdr:row>
      <xdr:rowOff>9525</xdr:rowOff>
    </xdr:from>
    <xdr:to>
      <xdr:col>0</xdr:col>
      <xdr:colOff>1600588</xdr:colOff>
      <xdr:row>88</xdr:row>
      <xdr:rowOff>2712862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95AAB1D6-2A40-4055-A08C-3285969BE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525" y="203768325"/>
          <a:ext cx="1591063" cy="2696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89</xdr:row>
      <xdr:rowOff>9525</xdr:rowOff>
    </xdr:from>
    <xdr:to>
      <xdr:col>0</xdr:col>
      <xdr:colOff>1600588</xdr:colOff>
      <xdr:row>89</xdr:row>
      <xdr:rowOff>2192587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3C0B8A31-FD2F-43FD-A92C-F9E0662D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525" y="206473425"/>
          <a:ext cx="1591063" cy="218306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90</xdr:row>
      <xdr:rowOff>9525</xdr:rowOff>
    </xdr:from>
    <xdr:to>
      <xdr:col>0</xdr:col>
      <xdr:colOff>1600588</xdr:colOff>
      <xdr:row>90</xdr:row>
      <xdr:rowOff>2254350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9EE628B3-CE80-45EC-B501-7DEC3CD3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525" y="211083525"/>
          <a:ext cx="1591063" cy="22384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91</xdr:row>
      <xdr:rowOff>9525</xdr:rowOff>
    </xdr:from>
    <xdr:to>
      <xdr:col>0</xdr:col>
      <xdr:colOff>1600588</xdr:colOff>
      <xdr:row>91</xdr:row>
      <xdr:rowOff>3810925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1102749A-C29B-4553-8F4A-0965619E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525" y="213331425"/>
          <a:ext cx="1591063" cy="38014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92</xdr:row>
      <xdr:rowOff>9525</xdr:rowOff>
    </xdr:from>
    <xdr:to>
      <xdr:col>0</xdr:col>
      <xdr:colOff>1600588</xdr:colOff>
      <xdr:row>92</xdr:row>
      <xdr:rowOff>3810925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2A6E505B-EF59-41E7-8378-744DE76B6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525" y="217477975"/>
          <a:ext cx="1591063" cy="38014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93</xdr:row>
      <xdr:rowOff>9525</xdr:rowOff>
    </xdr:from>
    <xdr:to>
      <xdr:col>0</xdr:col>
      <xdr:colOff>1600588</xdr:colOff>
      <xdr:row>93</xdr:row>
      <xdr:rowOff>3810925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DC9B70BD-9847-4889-ACC1-1CBAA3924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525" y="221287975"/>
          <a:ext cx="1591063" cy="38014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94</xdr:row>
      <xdr:rowOff>9525</xdr:rowOff>
    </xdr:from>
    <xdr:to>
      <xdr:col>0</xdr:col>
      <xdr:colOff>1600588</xdr:colOff>
      <xdr:row>94</xdr:row>
      <xdr:rowOff>960353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B9EC20A4-618B-498A-AC3B-DCFE9C22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525" y="248770775"/>
          <a:ext cx="1591063" cy="9444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95</xdr:row>
      <xdr:rowOff>9525</xdr:rowOff>
    </xdr:from>
    <xdr:to>
      <xdr:col>0</xdr:col>
      <xdr:colOff>1600588</xdr:colOff>
      <xdr:row>95</xdr:row>
      <xdr:rowOff>3810925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5417C2E8-2788-48AA-A0EC-5358BA39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25" y="250059825"/>
          <a:ext cx="1591063" cy="38014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96</xdr:row>
      <xdr:rowOff>9525</xdr:rowOff>
    </xdr:from>
    <xdr:to>
      <xdr:col>0</xdr:col>
      <xdr:colOff>1600588</xdr:colOff>
      <xdr:row>96</xdr:row>
      <xdr:rowOff>2425134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CAD501F7-2AB8-4421-9A14-1D5E3DB3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525" y="253869825"/>
          <a:ext cx="1591063" cy="240925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</xdr:row>
      <xdr:rowOff>9525</xdr:rowOff>
    </xdr:from>
    <xdr:to>
      <xdr:col>0</xdr:col>
      <xdr:colOff>1600588</xdr:colOff>
      <xdr:row>34</xdr:row>
      <xdr:rowOff>1883045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A725F9A8-7E3A-45F5-B5B0-4AFC7D06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525" y="256625725"/>
          <a:ext cx="1591063" cy="186082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97</xdr:row>
      <xdr:rowOff>9525</xdr:rowOff>
    </xdr:from>
    <xdr:to>
      <xdr:col>0</xdr:col>
      <xdr:colOff>1600588</xdr:colOff>
      <xdr:row>97</xdr:row>
      <xdr:rowOff>880323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517AAEF6-CF9B-4E42-A4A7-E8AE87CE9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525" y="258835525"/>
          <a:ext cx="1591063" cy="86444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98</xdr:row>
      <xdr:rowOff>9525</xdr:rowOff>
    </xdr:from>
    <xdr:to>
      <xdr:col>0</xdr:col>
      <xdr:colOff>1600588</xdr:colOff>
      <xdr:row>98</xdr:row>
      <xdr:rowOff>848311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D0E80C25-2C5D-44CF-965A-AB4A0D230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525" y="259711825"/>
          <a:ext cx="1591063" cy="83243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99</xdr:row>
      <xdr:rowOff>0</xdr:rowOff>
    </xdr:from>
    <xdr:to>
      <xdr:col>0</xdr:col>
      <xdr:colOff>1600588</xdr:colOff>
      <xdr:row>99</xdr:row>
      <xdr:rowOff>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DD19C10C-D6BA-478B-8139-48749F557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525" y="260892925"/>
          <a:ext cx="1591063" cy="9444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99</xdr:row>
      <xdr:rowOff>9525</xdr:rowOff>
    </xdr:from>
    <xdr:to>
      <xdr:col>0</xdr:col>
      <xdr:colOff>1600588</xdr:colOff>
      <xdr:row>99</xdr:row>
      <xdr:rowOff>960353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F7432CD3-876A-4C1F-87FE-979CC2E3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525" y="261845425"/>
          <a:ext cx="1591063" cy="9444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101</xdr:row>
      <xdr:rowOff>0</xdr:rowOff>
    </xdr:from>
    <xdr:to>
      <xdr:col>0</xdr:col>
      <xdr:colOff>1600588</xdr:colOff>
      <xdr:row>101</xdr:row>
      <xdr:rowOff>0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33C3D973-4D41-4BFB-9BD0-CACFA195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525" y="263750425"/>
          <a:ext cx="1591063" cy="944478"/>
        </a:xfrm>
        <a:prstGeom prst="rect">
          <a:avLst/>
        </a:prstGeom>
      </xdr:spPr>
    </xdr:pic>
    <xdr:clientData/>
  </xdr:twoCellAnchor>
  <xdr:twoCellAnchor>
    <xdr:from>
      <xdr:col>0</xdr:col>
      <xdr:colOff>160339</xdr:colOff>
      <xdr:row>101</xdr:row>
      <xdr:rowOff>9525</xdr:rowOff>
    </xdr:from>
    <xdr:to>
      <xdr:col>0</xdr:col>
      <xdr:colOff>515938</xdr:colOff>
      <xdr:row>102</xdr:row>
      <xdr:rowOff>1295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7FC73308-2694-4D52-82DE-A2BB759C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0339" y="86067900"/>
          <a:ext cx="355599" cy="880770"/>
        </a:xfrm>
        <a:prstGeom prst="rect">
          <a:avLst/>
        </a:prstGeom>
      </xdr:spPr>
    </xdr:pic>
    <xdr:clientData/>
  </xdr:twoCellAnchor>
  <xdr:twoCellAnchor>
    <xdr:from>
      <xdr:col>0</xdr:col>
      <xdr:colOff>87313</xdr:colOff>
      <xdr:row>39</xdr:row>
      <xdr:rowOff>27635</xdr:rowOff>
    </xdr:from>
    <xdr:to>
      <xdr:col>0</xdr:col>
      <xdr:colOff>1238250</xdr:colOff>
      <xdr:row>39</xdr:row>
      <xdr:rowOff>873125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2FBE6F62-69DE-53FA-0DBE-031FFB5C4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7313" y="32984135"/>
          <a:ext cx="1150937" cy="845490"/>
        </a:xfrm>
        <a:prstGeom prst="rect">
          <a:avLst/>
        </a:prstGeom>
      </xdr:spPr>
    </xdr:pic>
    <xdr:clientData/>
  </xdr:twoCellAnchor>
  <xdr:twoCellAnchor>
    <xdr:from>
      <xdr:col>0</xdr:col>
      <xdr:colOff>87314</xdr:colOff>
      <xdr:row>40</xdr:row>
      <xdr:rowOff>20601</xdr:rowOff>
    </xdr:from>
    <xdr:to>
      <xdr:col>0</xdr:col>
      <xdr:colOff>1190626</xdr:colOff>
      <xdr:row>40</xdr:row>
      <xdr:rowOff>865189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1A13724E-C5E9-95F0-921A-D81362395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87314" y="33866101"/>
          <a:ext cx="1103312" cy="8445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1292613</xdr:colOff>
      <xdr:row>100</xdr:row>
      <xdr:rowOff>880978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A3E09169-0D2D-44D9-B194-A8E5CC20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87185500"/>
          <a:ext cx="1292613" cy="8809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3F4E-A292-4B0B-90BA-4226E124FB95}">
  <dimension ref="A1:P103"/>
  <sheetViews>
    <sheetView tabSelected="1" zoomScale="80" zoomScaleNormal="80" workbookViewId="0">
      <pane xSplit="5" ySplit="3" topLeftCell="G31" activePane="bottomRight" state="frozen"/>
      <selection pane="topRight" activeCell="F1" sqref="F1"/>
      <selection pane="bottomLeft" activeCell="A2" sqref="A2"/>
      <selection pane="bottomRight" activeCell="O103" sqref="O103"/>
    </sheetView>
  </sheetViews>
  <sheetFormatPr baseColWidth="10" defaultColWidth="8.7265625" defaultRowHeight="14.5" x14ac:dyDescent="0.35"/>
  <cols>
    <col min="1" max="1" width="18.6328125" customWidth="1"/>
    <col min="2" max="2" width="13.54296875" bestFit="1" customWidth="1"/>
    <col min="3" max="3" width="9.08984375" customWidth="1"/>
    <col min="4" max="4" width="28.1796875" bestFit="1" customWidth="1"/>
    <col min="5" max="5" width="32.7265625" customWidth="1"/>
    <col min="6" max="6" width="14.08984375" bestFit="1" customWidth="1"/>
    <col min="7" max="7" width="10.453125" customWidth="1"/>
    <col min="8" max="8" width="16" bestFit="1" customWidth="1"/>
    <col min="9" max="9" width="12.08984375" style="4" customWidth="1"/>
    <col min="10" max="10" width="8.26953125" customWidth="1"/>
    <col min="11" max="11" width="9.08984375" style="4" customWidth="1"/>
    <col min="12" max="15" width="10" style="4" customWidth="1"/>
    <col min="16" max="16" width="10.54296875" customWidth="1"/>
  </cols>
  <sheetData>
    <row r="1" spans="1:16" ht="18.5" customHeight="1" x14ac:dyDescent="0.45">
      <c r="A1" s="41" t="s">
        <v>258</v>
      </c>
    </row>
    <row r="2" spans="1:16" ht="20" customHeight="1" x14ac:dyDescent="0.35">
      <c r="O2" s="27">
        <f>SUBTOTAL(9,O4:O102)</f>
        <v>1498</v>
      </c>
      <c r="P2" s="42">
        <f>SUBTOTAL(9,P4:P102)</f>
        <v>48505.60000000002</v>
      </c>
    </row>
    <row r="3" spans="1:16" ht="26.5" x14ac:dyDescent="0.35">
      <c r="A3" s="31"/>
      <c r="B3" s="31" t="s">
        <v>0</v>
      </c>
      <c r="C3" s="31" t="s">
        <v>1</v>
      </c>
      <c r="D3" s="31" t="s">
        <v>2</v>
      </c>
      <c r="E3" s="31" t="s">
        <v>3</v>
      </c>
      <c r="F3" s="32" t="s">
        <v>200</v>
      </c>
      <c r="G3" s="33" t="s">
        <v>201</v>
      </c>
      <c r="H3" s="33" t="s">
        <v>202</v>
      </c>
      <c r="I3" s="35" t="s">
        <v>199</v>
      </c>
      <c r="J3" s="36" t="s">
        <v>203</v>
      </c>
      <c r="K3" s="36" t="s">
        <v>246</v>
      </c>
      <c r="L3" s="34" t="s">
        <v>9</v>
      </c>
      <c r="M3" s="34" t="s">
        <v>250</v>
      </c>
      <c r="N3" s="30" t="s">
        <v>252</v>
      </c>
      <c r="O3" s="30" t="s">
        <v>257</v>
      </c>
      <c r="P3" s="30" t="s">
        <v>251</v>
      </c>
    </row>
    <row r="4" spans="1:16" ht="80" customHeight="1" x14ac:dyDescent="0.35">
      <c r="A4" t="s">
        <v>11</v>
      </c>
      <c r="B4" s="5" t="s">
        <v>12</v>
      </c>
      <c r="C4" s="24" t="s">
        <v>13</v>
      </c>
      <c r="D4" s="5" t="s">
        <v>14</v>
      </c>
      <c r="E4" s="5" t="s">
        <v>15</v>
      </c>
      <c r="F4" s="5" t="s">
        <v>204</v>
      </c>
      <c r="G4" s="5" t="s">
        <v>205</v>
      </c>
      <c r="H4" s="5" t="s">
        <v>206</v>
      </c>
      <c r="I4" s="8" t="s">
        <v>199</v>
      </c>
      <c r="J4" s="6" t="s">
        <v>230</v>
      </c>
      <c r="K4" s="6" t="s">
        <v>247</v>
      </c>
      <c r="L4" s="2">
        <v>78</v>
      </c>
      <c r="M4" s="2">
        <v>42.900000000000006</v>
      </c>
      <c r="N4" s="2" t="s">
        <v>238</v>
      </c>
      <c r="O4" s="40">
        <v>16</v>
      </c>
      <c r="P4" s="43">
        <f t="shared" ref="P4:P35" si="0">M4*O4</f>
        <v>686.40000000000009</v>
      </c>
    </row>
    <row r="5" spans="1:16" ht="70" customHeight="1" x14ac:dyDescent="0.35">
      <c r="A5" t="s">
        <v>11</v>
      </c>
      <c r="B5" s="5" t="s">
        <v>16</v>
      </c>
      <c r="C5" s="23" t="s">
        <v>17</v>
      </c>
      <c r="D5" s="5" t="s">
        <v>18</v>
      </c>
      <c r="E5" s="5" t="s">
        <v>15</v>
      </c>
      <c r="F5" s="5" t="s">
        <v>204</v>
      </c>
      <c r="G5" s="5" t="s">
        <v>205</v>
      </c>
      <c r="H5" s="5" t="s">
        <v>206</v>
      </c>
      <c r="I5" s="6"/>
      <c r="J5" s="6" t="s">
        <v>230</v>
      </c>
      <c r="K5" s="6" t="s">
        <v>247</v>
      </c>
      <c r="L5" s="2">
        <v>108</v>
      </c>
      <c r="M5" s="2">
        <v>59.400000000000006</v>
      </c>
      <c r="N5" s="2" t="s">
        <v>237</v>
      </c>
      <c r="O5" s="40">
        <v>16</v>
      </c>
      <c r="P5" s="43">
        <f t="shared" si="0"/>
        <v>950.40000000000009</v>
      </c>
    </row>
    <row r="6" spans="1:16" ht="70" customHeight="1" x14ac:dyDescent="0.35">
      <c r="A6" t="s">
        <v>11</v>
      </c>
      <c r="B6" s="5" t="s">
        <v>19</v>
      </c>
      <c r="C6" s="23" t="s">
        <v>17</v>
      </c>
      <c r="D6" s="5" t="s">
        <v>20</v>
      </c>
      <c r="E6" s="5" t="s">
        <v>15</v>
      </c>
      <c r="F6" s="5" t="s">
        <v>204</v>
      </c>
      <c r="G6" s="5" t="s">
        <v>207</v>
      </c>
      <c r="H6" s="5" t="s">
        <v>208</v>
      </c>
      <c r="I6" s="6"/>
      <c r="J6" s="6" t="s">
        <v>230</v>
      </c>
      <c r="K6" s="6" t="s">
        <v>247</v>
      </c>
      <c r="L6" s="2">
        <v>56</v>
      </c>
      <c r="M6" s="2">
        <v>30.800000000000004</v>
      </c>
      <c r="N6" s="2" t="s">
        <v>237</v>
      </c>
      <c r="O6" s="40">
        <v>16</v>
      </c>
      <c r="P6" s="43">
        <f t="shared" si="0"/>
        <v>492.80000000000007</v>
      </c>
    </row>
    <row r="7" spans="1:16" ht="70" customHeight="1" x14ac:dyDescent="0.35">
      <c r="A7" t="s">
        <v>11</v>
      </c>
      <c r="B7" s="5" t="s">
        <v>21</v>
      </c>
      <c r="C7" s="24" t="s">
        <v>13</v>
      </c>
      <c r="D7" s="5" t="s">
        <v>22</v>
      </c>
      <c r="E7" s="5" t="s">
        <v>23</v>
      </c>
      <c r="F7" s="5" t="s">
        <v>204</v>
      </c>
      <c r="G7" s="5" t="s">
        <v>205</v>
      </c>
      <c r="H7" s="5" t="s">
        <v>206</v>
      </c>
      <c r="I7" s="6"/>
      <c r="J7" s="6" t="s">
        <v>230</v>
      </c>
      <c r="K7" s="6" t="s">
        <v>248</v>
      </c>
      <c r="L7" s="2">
        <v>128</v>
      </c>
      <c r="M7" s="2">
        <v>70.400000000000006</v>
      </c>
      <c r="N7" s="2" t="s">
        <v>237</v>
      </c>
      <c r="O7" s="40">
        <v>16</v>
      </c>
      <c r="P7" s="43">
        <f t="shared" si="0"/>
        <v>1126.4000000000001</v>
      </c>
    </row>
    <row r="8" spans="1:16" ht="70" customHeight="1" x14ac:dyDescent="0.35">
      <c r="A8" t="s">
        <v>11</v>
      </c>
      <c r="B8" s="5" t="s">
        <v>24</v>
      </c>
      <c r="C8" s="23" t="s">
        <v>17</v>
      </c>
      <c r="D8" s="5" t="s">
        <v>25</v>
      </c>
      <c r="E8" s="5" t="s">
        <v>23</v>
      </c>
      <c r="F8" s="5" t="s">
        <v>204</v>
      </c>
      <c r="G8" s="5" t="s">
        <v>205</v>
      </c>
      <c r="H8" s="5" t="s">
        <v>206</v>
      </c>
      <c r="I8" s="6"/>
      <c r="J8" s="6" t="s">
        <v>230</v>
      </c>
      <c r="K8" s="6" t="s">
        <v>248</v>
      </c>
      <c r="L8" s="2">
        <v>128</v>
      </c>
      <c r="M8" s="2">
        <v>70.400000000000006</v>
      </c>
      <c r="N8" s="2" t="s">
        <v>237</v>
      </c>
      <c r="O8" s="40">
        <v>16</v>
      </c>
      <c r="P8" s="43">
        <f t="shared" si="0"/>
        <v>1126.4000000000001</v>
      </c>
    </row>
    <row r="9" spans="1:16" ht="70" customHeight="1" x14ac:dyDescent="0.35">
      <c r="A9" t="s">
        <v>11</v>
      </c>
      <c r="B9" s="5" t="s">
        <v>26</v>
      </c>
      <c r="C9" s="23" t="s">
        <v>17</v>
      </c>
      <c r="D9" s="5" t="s">
        <v>27</v>
      </c>
      <c r="E9" s="5" t="s">
        <v>23</v>
      </c>
      <c r="F9" s="5" t="s">
        <v>204</v>
      </c>
      <c r="G9" s="5" t="s">
        <v>205</v>
      </c>
      <c r="H9" s="5" t="s">
        <v>209</v>
      </c>
      <c r="I9" s="8" t="s">
        <v>199</v>
      </c>
      <c r="J9" s="6" t="s">
        <v>232</v>
      </c>
      <c r="K9" s="6" t="s">
        <v>248</v>
      </c>
      <c r="L9" s="2">
        <v>68</v>
      </c>
      <c r="M9" s="2">
        <v>37.400000000000006</v>
      </c>
      <c r="N9" s="2" t="s">
        <v>237</v>
      </c>
      <c r="O9" s="40">
        <v>16</v>
      </c>
      <c r="P9" s="43">
        <f t="shared" si="0"/>
        <v>598.40000000000009</v>
      </c>
    </row>
    <row r="10" spans="1:16" ht="70" customHeight="1" x14ac:dyDescent="0.35">
      <c r="A10" t="s">
        <v>11</v>
      </c>
      <c r="B10" s="5" t="s">
        <v>28</v>
      </c>
      <c r="C10" s="23" t="s">
        <v>17</v>
      </c>
      <c r="D10" s="5" t="s">
        <v>27</v>
      </c>
      <c r="E10" s="5" t="s">
        <v>29</v>
      </c>
      <c r="F10" s="5" t="s">
        <v>204</v>
      </c>
      <c r="G10" s="5" t="s">
        <v>205</v>
      </c>
      <c r="H10" s="5" t="s">
        <v>209</v>
      </c>
      <c r="I10" s="8" t="s">
        <v>199</v>
      </c>
      <c r="J10" s="6" t="s">
        <v>232</v>
      </c>
      <c r="K10" s="6" t="s">
        <v>249</v>
      </c>
      <c r="L10" s="2">
        <v>68</v>
      </c>
      <c r="M10" s="2">
        <v>37.400000000000006</v>
      </c>
      <c r="N10" s="2" t="s">
        <v>237</v>
      </c>
      <c r="O10" s="40">
        <v>16</v>
      </c>
      <c r="P10" s="43">
        <f t="shared" si="0"/>
        <v>598.40000000000009</v>
      </c>
    </row>
    <row r="11" spans="1:16" ht="70" customHeight="1" x14ac:dyDescent="0.35">
      <c r="A11" t="s">
        <v>11</v>
      </c>
      <c r="B11" s="5" t="s">
        <v>30</v>
      </c>
      <c r="C11" s="23" t="s">
        <v>17</v>
      </c>
      <c r="D11" s="5" t="s">
        <v>31</v>
      </c>
      <c r="E11" s="5" t="s">
        <v>32</v>
      </c>
      <c r="F11" s="5" t="s">
        <v>204</v>
      </c>
      <c r="G11" s="5" t="s">
        <v>205</v>
      </c>
      <c r="H11" s="5" t="s">
        <v>209</v>
      </c>
      <c r="I11" s="6"/>
      <c r="J11" s="6" t="s">
        <v>232</v>
      </c>
      <c r="K11" s="6" t="s">
        <v>247</v>
      </c>
      <c r="L11" s="2">
        <v>88</v>
      </c>
      <c r="M11" s="2">
        <v>48.400000000000006</v>
      </c>
      <c r="N11" s="2" t="s">
        <v>237</v>
      </c>
      <c r="O11" s="40">
        <v>16</v>
      </c>
      <c r="P11" s="43">
        <f t="shared" si="0"/>
        <v>774.40000000000009</v>
      </c>
    </row>
    <row r="12" spans="1:16" ht="70" customHeight="1" x14ac:dyDescent="0.35">
      <c r="A12" t="s">
        <v>11</v>
      </c>
      <c r="B12" s="5" t="s">
        <v>33</v>
      </c>
      <c r="C12" s="24" t="s">
        <v>13</v>
      </c>
      <c r="D12" s="5" t="s">
        <v>34</v>
      </c>
      <c r="E12" s="5" t="s">
        <v>15</v>
      </c>
      <c r="F12" s="5" t="s">
        <v>210</v>
      </c>
      <c r="G12" s="5" t="s">
        <v>211</v>
      </c>
      <c r="H12" s="5" t="s">
        <v>212</v>
      </c>
      <c r="I12" s="6"/>
      <c r="J12" s="6" t="s">
        <v>230</v>
      </c>
      <c r="K12" s="6" t="s">
        <v>247</v>
      </c>
      <c r="L12" s="2">
        <v>38</v>
      </c>
      <c r="M12" s="2">
        <v>20.900000000000002</v>
      </c>
      <c r="N12" s="2"/>
      <c r="O12" s="40"/>
      <c r="P12" s="43">
        <f t="shared" si="0"/>
        <v>0</v>
      </c>
    </row>
    <row r="13" spans="1:16" ht="70" customHeight="1" x14ac:dyDescent="0.35">
      <c r="A13" t="s">
        <v>11</v>
      </c>
      <c r="B13" s="5" t="s">
        <v>35</v>
      </c>
      <c r="C13" s="24" t="s">
        <v>13</v>
      </c>
      <c r="D13" s="5" t="s">
        <v>34</v>
      </c>
      <c r="E13" s="5" t="s">
        <v>36</v>
      </c>
      <c r="F13" s="5" t="s">
        <v>210</v>
      </c>
      <c r="G13" s="5" t="s">
        <v>211</v>
      </c>
      <c r="H13" s="5" t="s">
        <v>212</v>
      </c>
      <c r="I13" s="6"/>
      <c r="J13" s="6" t="s">
        <v>230</v>
      </c>
      <c r="K13" s="6" t="s">
        <v>248</v>
      </c>
      <c r="L13" s="2">
        <v>38</v>
      </c>
      <c r="M13" s="2">
        <v>20.900000000000002</v>
      </c>
      <c r="N13" s="2"/>
      <c r="O13" s="40"/>
      <c r="P13" s="43">
        <f t="shared" si="0"/>
        <v>0</v>
      </c>
    </row>
    <row r="14" spans="1:16" ht="70" customHeight="1" x14ac:dyDescent="0.35">
      <c r="A14" t="s">
        <v>11</v>
      </c>
      <c r="B14" s="5" t="s">
        <v>37</v>
      </c>
      <c r="C14" s="24" t="s">
        <v>13</v>
      </c>
      <c r="D14" s="5" t="s">
        <v>34</v>
      </c>
      <c r="E14" s="5" t="s">
        <v>38</v>
      </c>
      <c r="F14" s="5" t="s">
        <v>210</v>
      </c>
      <c r="G14" s="5" t="s">
        <v>211</v>
      </c>
      <c r="H14" s="5" t="s">
        <v>212</v>
      </c>
      <c r="I14" s="6"/>
      <c r="J14" s="6" t="s">
        <v>230</v>
      </c>
      <c r="K14" s="6" t="s">
        <v>248</v>
      </c>
      <c r="L14" s="2">
        <v>38</v>
      </c>
      <c r="M14" s="2">
        <v>20.900000000000002</v>
      </c>
      <c r="N14" s="2"/>
      <c r="O14" s="40"/>
      <c r="P14" s="43">
        <f t="shared" si="0"/>
        <v>0</v>
      </c>
    </row>
    <row r="15" spans="1:16" ht="70" customHeight="1" x14ac:dyDescent="0.35">
      <c r="A15" t="s">
        <v>11</v>
      </c>
      <c r="B15" s="5" t="s">
        <v>40</v>
      </c>
      <c r="C15" s="24" t="s">
        <v>13</v>
      </c>
      <c r="D15" s="5" t="s">
        <v>34</v>
      </c>
      <c r="E15" s="5" t="s">
        <v>41</v>
      </c>
      <c r="F15" s="5" t="s">
        <v>210</v>
      </c>
      <c r="G15" s="5" t="s">
        <v>211</v>
      </c>
      <c r="H15" s="5" t="s">
        <v>212</v>
      </c>
      <c r="I15" s="6"/>
      <c r="J15" s="6" t="s">
        <v>230</v>
      </c>
      <c r="K15" s="6" t="s">
        <v>247</v>
      </c>
      <c r="L15" s="2">
        <v>38</v>
      </c>
      <c r="M15" s="2">
        <v>20.900000000000002</v>
      </c>
      <c r="N15" s="2"/>
      <c r="O15" s="40"/>
      <c r="P15" s="43">
        <f t="shared" si="0"/>
        <v>0</v>
      </c>
    </row>
    <row r="16" spans="1:16" ht="70" customHeight="1" x14ac:dyDescent="0.35">
      <c r="A16" t="s">
        <v>11</v>
      </c>
      <c r="B16" s="5" t="s">
        <v>42</v>
      </c>
      <c r="C16" s="23" t="s">
        <v>17</v>
      </c>
      <c r="D16" s="5" t="s">
        <v>43</v>
      </c>
      <c r="E16" s="5" t="s">
        <v>15</v>
      </c>
      <c r="F16" s="5" t="s">
        <v>210</v>
      </c>
      <c r="G16" s="5" t="s">
        <v>211</v>
      </c>
      <c r="H16" s="5" t="s">
        <v>212</v>
      </c>
      <c r="I16" s="6"/>
      <c r="J16" s="6" t="s">
        <v>230</v>
      </c>
      <c r="K16" s="6" t="s">
        <v>247</v>
      </c>
      <c r="L16" s="2">
        <v>38</v>
      </c>
      <c r="M16" s="2">
        <v>20.900000000000002</v>
      </c>
      <c r="N16" s="2"/>
      <c r="O16" s="40"/>
      <c r="P16" s="43">
        <f t="shared" si="0"/>
        <v>0</v>
      </c>
    </row>
    <row r="17" spans="1:16" ht="70" customHeight="1" x14ac:dyDescent="0.35">
      <c r="A17" t="s">
        <v>11</v>
      </c>
      <c r="B17" s="5" t="s">
        <v>44</v>
      </c>
      <c r="C17" s="23" t="s">
        <v>17</v>
      </c>
      <c r="D17" s="5" t="s">
        <v>43</v>
      </c>
      <c r="E17" s="5" t="s">
        <v>45</v>
      </c>
      <c r="F17" s="5" t="s">
        <v>210</v>
      </c>
      <c r="G17" s="5" t="s">
        <v>211</v>
      </c>
      <c r="H17" s="5" t="s">
        <v>212</v>
      </c>
      <c r="I17" s="6"/>
      <c r="J17" s="6" t="s">
        <v>230</v>
      </c>
      <c r="K17" s="6" t="s">
        <v>248</v>
      </c>
      <c r="L17" s="2">
        <v>38</v>
      </c>
      <c r="M17" s="2">
        <v>20.900000000000002</v>
      </c>
      <c r="N17" s="2"/>
      <c r="O17" s="40"/>
      <c r="P17" s="43">
        <f t="shared" si="0"/>
        <v>0</v>
      </c>
    </row>
    <row r="18" spans="1:16" ht="70" customHeight="1" x14ac:dyDescent="0.35">
      <c r="A18" t="s">
        <v>11</v>
      </c>
      <c r="B18" s="5" t="s">
        <v>46</v>
      </c>
      <c r="C18" s="23" t="s">
        <v>17</v>
      </c>
      <c r="D18" s="5" t="s">
        <v>43</v>
      </c>
      <c r="E18" s="5" t="s">
        <v>38</v>
      </c>
      <c r="F18" s="5" t="s">
        <v>210</v>
      </c>
      <c r="G18" s="5" t="s">
        <v>211</v>
      </c>
      <c r="H18" s="5" t="s">
        <v>212</v>
      </c>
      <c r="I18" s="6"/>
      <c r="J18" s="6" t="s">
        <v>230</v>
      </c>
      <c r="K18" s="6" t="s">
        <v>248</v>
      </c>
      <c r="L18" s="2">
        <v>38</v>
      </c>
      <c r="M18" s="2">
        <v>20.900000000000002</v>
      </c>
      <c r="N18" s="2"/>
      <c r="O18" s="40"/>
      <c r="P18" s="43">
        <f t="shared" si="0"/>
        <v>0</v>
      </c>
    </row>
    <row r="19" spans="1:16" ht="70" customHeight="1" x14ac:dyDescent="0.35">
      <c r="A19" t="s">
        <v>11</v>
      </c>
      <c r="B19" s="5" t="s">
        <v>47</v>
      </c>
      <c r="C19" s="24" t="s">
        <v>13</v>
      </c>
      <c r="D19" s="5" t="s">
        <v>48</v>
      </c>
      <c r="E19" s="5" t="s">
        <v>15</v>
      </c>
      <c r="F19" s="5" t="s">
        <v>204</v>
      </c>
      <c r="G19" s="5" t="s">
        <v>205</v>
      </c>
      <c r="H19" s="5" t="s">
        <v>206</v>
      </c>
      <c r="I19" s="8" t="s">
        <v>199</v>
      </c>
      <c r="J19" s="6" t="s">
        <v>230</v>
      </c>
      <c r="K19" s="6" t="s">
        <v>249</v>
      </c>
      <c r="L19" s="2">
        <v>50</v>
      </c>
      <c r="M19" s="2">
        <v>27.500000000000004</v>
      </c>
      <c r="N19" s="2" t="s">
        <v>237</v>
      </c>
      <c r="O19" s="40">
        <v>16</v>
      </c>
      <c r="P19" s="43">
        <f t="shared" si="0"/>
        <v>440.00000000000006</v>
      </c>
    </row>
    <row r="20" spans="1:16" ht="70" customHeight="1" x14ac:dyDescent="0.35">
      <c r="A20" t="s">
        <v>11</v>
      </c>
      <c r="B20" s="5" t="s">
        <v>49</v>
      </c>
      <c r="C20" s="24" t="s">
        <v>13</v>
      </c>
      <c r="D20" s="5" t="s">
        <v>48</v>
      </c>
      <c r="E20" s="5" t="s">
        <v>50</v>
      </c>
      <c r="F20" s="5" t="s">
        <v>204</v>
      </c>
      <c r="G20" s="5" t="s">
        <v>205</v>
      </c>
      <c r="H20" s="5" t="s">
        <v>206</v>
      </c>
      <c r="I20" s="8" t="s">
        <v>199</v>
      </c>
      <c r="J20" s="6" t="s">
        <v>230</v>
      </c>
      <c r="K20" s="6" t="s">
        <v>249</v>
      </c>
      <c r="L20" s="2">
        <v>50</v>
      </c>
      <c r="M20" s="2">
        <v>27.500000000000004</v>
      </c>
      <c r="N20" s="2" t="s">
        <v>237</v>
      </c>
      <c r="O20" s="40">
        <v>16</v>
      </c>
      <c r="P20" s="43">
        <f t="shared" si="0"/>
        <v>440.00000000000006</v>
      </c>
    </row>
    <row r="21" spans="1:16" ht="70" customHeight="1" x14ac:dyDescent="0.35">
      <c r="A21" t="s">
        <v>11</v>
      </c>
      <c r="B21" s="5" t="s">
        <v>51</v>
      </c>
      <c r="C21" s="24" t="s">
        <v>13</v>
      </c>
      <c r="D21" s="5" t="s">
        <v>48</v>
      </c>
      <c r="E21" s="5" t="s">
        <v>41</v>
      </c>
      <c r="F21" s="5" t="s">
        <v>204</v>
      </c>
      <c r="G21" s="5" t="s">
        <v>205</v>
      </c>
      <c r="H21" s="5" t="s">
        <v>206</v>
      </c>
      <c r="I21" s="6"/>
      <c r="J21" s="6" t="s">
        <v>11</v>
      </c>
      <c r="K21" s="6" t="s">
        <v>249</v>
      </c>
      <c r="L21" s="2">
        <v>50</v>
      </c>
      <c r="M21" s="2">
        <v>27.500000000000004</v>
      </c>
      <c r="N21" s="2" t="s">
        <v>237</v>
      </c>
      <c r="O21" s="40">
        <v>16</v>
      </c>
      <c r="P21" s="43">
        <f t="shared" si="0"/>
        <v>440.00000000000006</v>
      </c>
    </row>
    <row r="22" spans="1:16" ht="70" customHeight="1" x14ac:dyDescent="0.35">
      <c r="A22" t="s">
        <v>11</v>
      </c>
      <c r="B22" s="5" t="s">
        <v>52</v>
      </c>
      <c r="C22" s="24" t="s">
        <v>13</v>
      </c>
      <c r="D22" s="5" t="s">
        <v>53</v>
      </c>
      <c r="E22" s="5" t="s">
        <v>15</v>
      </c>
      <c r="F22" s="5" t="s">
        <v>204</v>
      </c>
      <c r="G22" s="5" t="s">
        <v>205</v>
      </c>
      <c r="H22" s="5" t="s">
        <v>206</v>
      </c>
      <c r="I22" s="8" t="s">
        <v>199</v>
      </c>
      <c r="J22" s="6" t="s">
        <v>230</v>
      </c>
      <c r="K22" s="6" t="s">
        <v>249</v>
      </c>
      <c r="L22" s="2">
        <v>55</v>
      </c>
      <c r="M22" s="2">
        <v>30.250000000000004</v>
      </c>
      <c r="N22" s="2" t="s">
        <v>237</v>
      </c>
      <c r="O22" s="40">
        <v>24</v>
      </c>
      <c r="P22" s="43">
        <f t="shared" si="0"/>
        <v>726.00000000000011</v>
      </c>
    </row>
    <row r="23" spans="1:16" ht="70" customHeight="1" x14ac:dyDescent="0.35">
      <c r="A23" t="s">
        <v>11</v>
      </c>
      <c r="B23" s="5" t="s">
        <v>54</v>
      </c>
      <c r="C23" s="24" t="s">
        <v>13</v>
      </c>
      <c r="D23" s="5" t="s">
        <v>53</v>
      </c>
      <c r="E23" s="5" t="s">
        <v>55</v>
      </c>
      <c r="F23" s="5" t="s">
        <v>204</v>
      </c>
      <c r="G23" s="5" t="s">
        <v>205</v>
      </c>
      <c r="H23" s="5" t="s">
        <v>206</v>
      </c>
      <c r="I23" s="8" t="s">
        <v>199</v>
      </c>
      <c r="J23" s="6" t="s">
        <v>231</v>
      </c>
      <c r="K23" s="6" t="s">
        <v>249</v>
      </c>
      <c r="L23" s="2">
        <v>55</v>
      </c>
      <c r="M23" s="2">
        <v>30.250000000000004</v>
      </c>
      <c r="N23" s="2" t="s">
        <v>238</v>
      </c>
      <c r="O23" s="40">
        <v>24</v>
      </c>
      <c r="P23" s="43">
        <f t="shared" si="0"/>
        <v>726.00000000000011</v>
      </c>
    </row>
    <row r="24" spans="1:16" ht="70" customHeight="1" x14ac:dyDescent="0.35">
      <c r="A24" t="s">
        <v>11</v>
      </c>
      <c r="B24" s="5" t="s">
        <v>56</v>
      </c>
      <c r="C24" s="24" t="s">
        <v>13</v>
      </c>
      <c r="D24" s="5" t="s">
        <v>53</v>
      </c>
      <c r="E24" s="5" t="s">
        <v>50</v>
      </c>
      <c r="F24" s="5" t="s">
        <v>204</v>
      </c>
      <c r="G24" s="5" t="s">
        <v>205</v>
      </c>
      <c r="H24" s="5" t="s">
        <v>206</v>
      </c>
      <c r="I24" s="6"/>
      <c r="J24" s="6" t="s">
        <v>230</v>
      </c>
      <c r="K24" s="6" t="s">
        <v>249</v>
      </c>
      <c r="L24" s="2">
        <v>55</v>
      </c>
      <c r="M24" s="2">
        <v>30.250000000000004</v>
      </c>
      <c r="N24" s="2" t="s">
        <v>237</v>
      </c>
      <c r="O24" s="40">
        <v>16</v>
      </c>
      <c r="P24" s="43">
        <f t="shared" si="0"/>
        <v>484.00000000000006</v>
      </c>
    </row>
    <row r="25" spans="1:16" ht="70" customHeight="1" x14ac:dyDescent="0.35">
      <c r="A25" t="s">
        <v>11</v>
      </c>
      <c r="B25" s="5" t="s">
        <v>57</v>
      </c>
      <c r="C25" s="24" t="s">
        <v>13</v>
      </c>
      <c r="D25" s="5" t="s">
        <v>53</v>
      </c>
      <c r="E25" s="5" t="s">
        <v>58</v>
      </c>
      <c r="F25" s="5" t="s">
        <v>204</v>
      </c>
      <c r="G25" s="5" t="s">
        <v>205</v>
      </c>
      <c r="H25" s="5" t="s">
        <v>206</v>
      </c>
      <c r="I25" s="8" t="s">
        <v>199</v>
      </c>
      <c r="J25" s="6" t="s">
        <v>230</v>
      </c>
      <c r="K25" s="6" t="s">
        <v>249</v>
      </c>
      <c r="L25" s="2">
        <v>55</v>
      </c>
      <c r="M25" s="2">
        <v>30.250000000000004</v>
      </c>
      <c r="N25" s="2" t="s">
        <v>238</v>
      </c>
      <c r="O25" s="40">
        <v>24</v>
      </c>
      <c r="P25" s="43">
        <f t="shared" si="0"/>
        <v>726.00000000000011</v>
      </c>
    </row>
    <row r="26" spans="1:16" ht="70" customHeight="1" x14ac:dyDescent="0.35">
      <c r="A26" t="s">
        <v>11</v>
      </c>
      <c r="B26" s="5" t="s">
        <v>59</v>
      </c>
      <c r="C26" s="24" t="s">
        <v>13</v>
      </c>
      <c r="D26" s="5" t="s">
        <v>53</v>
      </c>
      <c r="E26" s="5" t="s">
        <v>41</v>
      </c>
      <c r="F26" s="5" t="s">
        <v>204</v>
      </c>
      <c r="G26" s="5" t="s">
        <v>205</v>
      </c>
      <c r="H26" s="5" t="s">
        <v>206</v>
      </c>
      <c r="I26" s="6"/>
      <c r="J26" s="6" t="s">
        <v>230</v>
      </c>
      <c r="K26" s="6" t="s">
        <v>249</v>
      </c>
      <c r="L26" s="2">
        <v>55</v>
      </c>
      <c r="M26" s="2">
        <v>30.250000000000004</v>
      </c>
      <c r="N26" s="2"/>
      <c r="O26" s="40"/>
      <c r="P26" s="43">
        <f t="shared" si="0"/>
        <v>0</v>
      </c>
    </row>
    <row r="27" spans="1:16" ht="70" customHeight="1" x14ac:dyDescent="0.35">
      <c r="A27" t="s">
        <v>11</v>
      </c>
      <c r="B27" s="5" t="s">
        <v>60</v>
      </c>
      <c r="C27" s="24" t="s">
        <v>13</v>
      </c>
      <c r="D27" s="5" t="s">
        <v>61</v>
      </c>
      <c r="E27" s="5" t="s">
        <v>15</v>
      </c>
      <c r="F27" s="5" t="s">
        <v>204</v>
      </c>
      <c r="G27" s="5" t="s">
        <v>205</v>
      </c>
      <c r="H27" s="5" t="s">
        <v>206</v>
      </c>
      <c r="I27" s="8" t="s">
        <v>199</v>
      </c>
      <c r="J27" s="6" t="s">
        <v>230</v>
      </c>
      <c r="K27" s="6" t="s">
        <v>249</v>
      </c>
      <c r="L27" s="2">
        <v>60</v>
      </c>
      <c r="M27" s="2">
        <v>33</v>
      </c>
      <c r="N27" s="2" t="s">
        <v>237</v>
      </c>
      <c r="O27" s="40">
        <v>16</v>
      </c>
      <c r="P27" s="43">
        <f t="shared" si="0"/>
        <v>528</v>
      </c>
    </row>
    <row r="28" spans="1:16" ht="70" customHeight="1" x14ac:dyDescent="0.35">
      <c r="A28" t="s">
        <v>11</v>
      </c>
      <c r="B28" s="5" t="s">
        <v>62</v>
      </c>
      <c r="C28" s="24" t="s">
        <v>13</v>
      </c>
      <c r="D28" s="5" t="s">
        <v>61</v>
      </c>
      <c r="E28" s="5" t="s">
        <v>50</v>
      </c>
      <c r="F28" s="5" t="s">
        <v>204</v>
      </c>
      <c r="G28" s="5" t="s">
        <v>205</v>
      </c>
      <c r="H28" s="5" t="s">
        <v>206</v>
      </c>
      <c r="I28" s="6"/>
      <c r="J28" s="6" t="s">
        <v>230</v>
      </c>
      <c r="K28" s="6" t="s">
        <v>249</v>
      </c>
      <c r="L28" s="2">
        <v>60</v>
      </c>
      <c r="M28" s="2">
        <v>33</v>
      </c>
      <c r="N28" s="2" t="s">
        <v>237</v>
      </c>
      <c r="O28" s="40">
        <v>16</v>
      </c>
      <c r="P28" s="43">
        <f t="shared" si="0"/>
        <v>528</v>
      </c>
    </row>
    <row r="29" spans="1:16" ht="70" customHeight="1" x14ac:dyDescent="0.35">
      <c r="A29" t="s">
        <v>11</v>
      </c>
      <c r="B29" s="5" t="s">
        <v>63</v>
      </c>
      <c r="C29" s="24" t="s">
        <v>13</v>
      </c>
      <c r="D29" s="5" t="s">
        <v>61</v>
      </c>
      <c r="E29" s="5" t="s">
        <v>58</v>
      </c>
      <c r="F29" s="5" t="s">
        <v>204</v>
      </c>
      <c r="G29" s="5" t="s">
        <v>205</v>
      </c>
      <c r="H29" s="5" t="s">
        <v>206</v>
      </c>
      <c r="I29" s="6"/>
      <c r="J29" s="6" t="s">
        <v>230</v>
      </c>
      <c r="K29" s="6" t="s">
        <v>249</v>
      </c>
      <c r="L29" s="2">
        <v>60</v>
      </c>
      <c r="M29" s="2">
        <v>33</v>
      </c>
      <c r="N29" s="2" t="s">
        <v>237</v>
      </c>
      <c r="O29" s="40">
        <v>16</v>
      </c>
      <c r="P29" s="43">
        <f t="shared" si="0"/>
        <v>528</v>
      </c>
    </row>
    <row r="30" spans="1:16" ht="70" customHeight="1" x14ac:dyDescent="0.35">
      <c r="A30" t="s">
        <v>11</v>
      </c>
      <c r="B30" s="5" t="s">
        <v>64</v>
      </c>
      <c r="C30" s="23" t="s">
        <v>17</v>
      </c>
      <c r="D30" s="5" t="s">
        <v>65</v>
      </c>
      <c r="E30" s="5" t="s">
        <v>15</v>
      </c>
      <c r="F30" s="5" t="s">
        <v>204</v>
      </c>
      <c r="G30" s="5" t="s">
        <v>205</v>
      </c>
      <c r="H30" s="5" t="s">
        <v>206</v>
      </c>
      <c r="I30" s="8" t="s">
        <v>199</v>
      </c>
      <c r="J30" s="6" t="s">
        <v>230</v>
      </c>
      <c r="K30" s="6" t="s">
        <v>249</v>
      </c>
      <c r="L30" s="2">
        <v>50</v>
      </c>
      <c r="M30" s="2">
        <v>27.500000000000004</v>
      </c>
      <c r="N30" s="2" t="s">
        <v>237</v>
      </c>
      <c r="O30" s="40">
        <v>16</v>
      </c>
      <c r="P30" s="43">
        <f t="shared" si="0"/>
        <v>440.00000000000006</v>
      </c>
    </row>
    <row r="31" spans="1:16" ht="70" customHeight="1" x14ac:dyDescent="0.35">
      <c r="A31" t="s">
        <v>11</v>
      </c>
      <c r="B31" s="5" t="s">
        <v>66</v>
      </c>
      <c r="C31" s="23" t="s">
        <v>17</v>
      </c>
      <c r="D31" s="5" t="s">
        <v>65</v>
      </c>
      <c r="E31" s="5" t="s">
        <v>50</v>
      </c>
      <c r="F31" s="5" t="s">
        <v>204</v>
      </c>
      <c r="G31" s="5" t="s">
        <v>205</v>
      </c>
      <c r="H31" s="5" t="s">
        <v>206</v>
      </c>
      <c r="I31" s="6"/>
      <c r="J31" s="6" t="s">
        <v>230</v>
      </c>
      <c r="K31" s="6" t="s">
        <v>249</v>
      </c>
      <c r="L31" s="2">
        <v>50</v>
      </c>
      <c r="M31" s="2">
        <v>27.500000000000004</v>
      </c>
      <c r="N31" s="2" t="s">
        <v>237</v>
      </c>
      <c r="O31" s="40">
        <v>16</v>
      </c>
      <c r="P31" s="43">
        <f t="shared" si="0"/>
        <v>440.00000000000006</v>
      </c>
    </row>
    <row r="32" spans="1:16" ht="70" customHeight="1" x14ac:dyDescent="0.35">
      <c r="A32" t="s">
        <v>11</v>
      </c>
      <c r="B32" s="5" t="s">
        <v>67</v>
      </c>
      <c r="C32" s="23" t="s">
        <v>17</v>
      </c>
      <c r="D32" s="5" t="s">
        <v>65</v>
      </c>
      <c r="E32" s="5" t="s">
        <v>41</v>
      </c>
      <c r="F32" s="5" t="s">
        <v>204</v>
      </c>
      <c r="G32" s="5" t="s">
        <v>205</v>
      </c>
      <c r="H32" s="5" t="s">
        <v>206</v>
      </c>
      <c r="I32" s="6"/>
      <c r="J32" s="6" t="s">
        <v>11</v>
      </c>
      <c r="K32" s="6" t="s">
        <v>249</v>
      </c>
      <c r="L32" s="2">
        <v>50</v>
      </c>
      <c r="M32" s="2">
        <v>27.500000000000004</v>
      </c>
      <c r="N32" s="2" t="s">
        <v>237</v>
      </c>
      <c r="O32" s="40">
        <v>16</v>
      </c>
      <c r="P32" s="43">
        <f t="shared" si="0"/>
        <v>440.00000000000006</v>
      </c>
    </row>
    <row r="33" spans="1:16" ht="70" customHeight="1" x14ac:dyDescent="0.35">
      <c r="A33" t="s">
        <v>11</v>
      </c>
      <c r="B33" s="5" t="s">
        <v>68</v>
      </c>
      <c r="C33" s="23" t="s">
        <v>17</v>
      </c>
      <c r="D33" s="5" t="s">
        <v>69</v>
      </c>
      <c r="E33" s="5" t="s">
        <v>15</v>
      </c>
      <c r="F33" s="5" t="s">
        <v>204</v>
      </c>
      <c r="G33" s="5" t="s">
        <v>205</v>
      </c>
      <c r="H33" s="5" t="s">
        <v>206</v>
      </c>
      <c r="I33" s="6"/>
      <c r="J33" s="6" t="s">
        <v>230</v>
      </c>
      <c r="K33" s="6" t="s">
        <v>249</v>
      </c>
      <c r="L33" s="2">
        <v>55</v>
      </c>
      <c r="M33" s="2">
        <v>30.250000000000004</v>
      </c>
      <c r="N33" s="2" t="s">
        <v>237</v>
      </c>
      <c r="O33" s="40">
        <v>16</v>
      </c>
      <c r="P33" s="43">
        <f t="shared" si="0"/>
        <v>484.00000000000006</v>
      </c>
    </row>
    <row r="34" spans="1:16" ht="70" customHeight="1" x14ac:dyDescent="0.35">
      <c r="A34" t="s">
        <v>11</v>
      </c>
      <c r="B34" s="5" t="s">
        <v>70</v>
      </c>
      <c r="C34" s="23" t="s">
        <v>17</v>
      </c>
      <c r="D34" s="5" t="s">
        <v>69</v>
      </c>
      <c r="E34" s="5" t="s">
        <v>50</v>
      </c>
      <c r="F34" s="5" t="s">
        <v>204</v>
      </c>
      <c r="G34" s="5" t="s">
        <v>205</v>
      </c>
      <c r="H34" s="5" t="s">
        <v>206</v>
      </c>
      <c r="I34" s="6"/>
      <c r="J34" s="6" t="s">
        <v>230</v>
      </c>
      <c r="K34" s="6" t="s">
        <v>249</v>
      </c>
      <c r="L34" s="2">
        <v>55</v>
      </c>
      <c r="M34" s="2">
        <v>30.250000000000004</v>
      </c>
      <c r="N34" s="2" t="s">
        <v>237</v>
      </c>
      <c r="O34" s="40">
        <v>24</v>
      </c>
      <c r="P34" s="43">
        <f t="shared" si="0"/>
        <v>726.00000000000011</v>
      </c>
    </row>
    <row r="35" spans="1:16" ht="70" customHeight="1" x14ac:dyDescent="0.35">
      <c r="A35" t="s">
        <v>11</v>
      </c>
      <c r="B35" s="5" t="s">
        <v>188</v>
      </c>
      <c r="C35" s="23" t="s">
        <v>17</v>
      </c>
      <c r="D35" s="5" t="s">
        <v>69</v>
      </c>
      <c r="E35" s="5" t="s">
        <v>77</v>
      </c>
      <c r="F35" s="5" t="s">
        <v>204</v>
      </c>
      <c r="G35" s="5" t="s">
        <v>205</v>
      </c>
      <c r="H35" s="5" t="s">
        <v>206</v>
      </c>
      <c r="I35" s="8" t="s">
        <v>199</v>
      </c>
      <c r="J35" s="6" t="s">
        <v>231</v>
      </c>
      <c r="K35" s="6" t="s">
        <v>249</v>
      </c>
      <c r="L35" s="2">
        <v>55</v>
      </c>
      <c r="M35" s="2">
        <v>30.250000000000004</v>
      </c>
      <c r="N35" s="2" t="s">
        <v>237</v>
      </c>
      <c r="O35" s="40">
        <v>16</v>
      </c>
      <c r="P35" s="43">
        <f t="shared" si="0"/>
        <v>484.00000000000006</v>
      </c>
    </row>
    <row r="36" spans="1:16" ht="70" customHeight="1" x14ac:dyDescent="0.35">
      <c r="A36" t="s">
        <v>11</v>
      </c>
      <c r="B36" s="5" t="s">
        <v>71</v>
      </c>
      <c r="C36" s="23" t="s">
        <v>17</v>
      </c>
      <c r="D36" s="5" t="s">
        <v>69</v>
      </c>
      <c r="E36" s="5" t="s">
        <v>41</v>
      </c>
      <c r="F36" s="5" t="s">
        <v>204</v>
      </c>
      <c r="G36" s="5" t="s">
        <v>205</v>
      </c>
      <c r="H36" s="5" t="s">
        <v>206</v>
      </c>
      <c r="I36" s="8" t="s">
        <v>199</v>
      </c>
      <c r="J36" s="6" t="s">
        <v>11</v>
      </c>
      <c r="K36" s="6" t="s">
        <v>249</v>
      </c>
      <c r="L36" s="2">
        <v>55</v>
      </c>
      <c r="M36" s="2">
        <v>30.250000000000004</v>
      </c>
      <c r="N36" s="2" t="s">
        <v>237</v>
      </c>
      <c r="O36" s="40">
        <v>24</v>
      </c>
      <c r="P36" s="43">
        <f t="shared" ref="P36:P67" si="1">M36*O36</f>
        <v>726.00000000000011</v>
      </c>
    </row>
    <row r="37" spans="1:16" ht="70" customHeight="1" x14ac:dyDescent="0.35">
      <c r="A37" t="s">
        <v>11</v>
      </c>
      <c r="B37" s="5" t="s">
        <v>73</v>
      </c>
      <c r="C37" s="23" t="s">
        <v>17</v>
      </c>
      <c r="D37" s="5" t="s">
        <v>72</v>
      </c>
      <c r="E37" s="5" t="s">
        <v>50</v>
      </c>
      <c r="F37" s="5" t="s">
        <v>204</v>
      </c>
      <c r="G37" s="5" t="s">
        <v>205</v>
      </c>
      <c r="H37" s="5" t="s">
        <v>206</v>
      </c>
      <c r="I37" s="6"/>
      <c r="J37" s="6" t="s">
        <v>230</v>
      </c>
      <c r="K37" s="6" t="s">
        <v>249</v>
      </c>
      <c r="L37" s="2">
        <v>60</v>
      </c>
      <c r="M37" s="2">
        <v>33</v>
      </c>
      <c r="N37" s="2" t="s">
        <v>237</v>
      </c>
      <c r="O37" s="40">
        <v>16</v>
      </c>
      <c r="P37" s="43">
        <f t="shared" si="1"/>
        <v>528</v>
      </c>
    </row>
    <row r="38" spans="1:16" ht="70" customHeight="1" x14ac:dyDescent="0.35">
      <c r="A38" t="s">
        <v>11</v>
      </c>
      <c r="B38" s="5" t="s">
        <v>74</v>
      </c>
      <c r="C38" s="23" t="s">
        <v>17</v>
      </c>
      <c r="D38" s="5" t="s">
        <v>72</v>
      </c>
      <c r="E38" s="5" t="s">
        <v>75</v>
      </c>
      <c r="F38" s="5" t="s">
        <v>204</v>
      </c>
      <c r="G38" s="5" t="s">
        <v>205</v>
      </c>
      <c r="H38" s="5" t="s">
        <v>206</v>
      </c>
      <c r="I38" s="8" t="s">
        <v>199</v>
      </c>
      <c r="J38" s="6" t="s">
        <v>231</v>
      </c>
      <c r="K38" s="6" t="s">
        <v>249</v>
      </c>
      <c r="L38" s="2">
        <v>60</v>
      </c>
      <c r="M38" s="2">
        <v>33</v>
      </c>
      <c r="N38" s="2" t="s">
        <v>237</v>
      </c>
      <c r="O38" s="40">
        <v>16</v>
      </c>
      <c r="P38" s="43">
        <f t="shared" si="1"/>
        <v>528</v>
      </c>
    </row>
    <row r="39" spans="1:16" ht="70" customHeight="1" x14ac:dyDescent="0.35">
      <c r="A39" t="s">
        <v>11</v>
      </c>
      <c r="B39" s="5" t="s">
        <v>76</v>
      </c>
      <c r="C39" s="23" t="s">
        <v>17</v>
      </c>
      <c r="D39" s="5" t="s">
        <v>72</v>
      </c>
      <c r="E39" s="5" t="s">
        <v>77</v>
      </c>
      <c r="F39" s="5" t="s">
        <v>204</v>
      </c>
      <c r="G39" s="5" t="s">
        <v>205</v>
      </c>
      <c r="H39" s="5" t="s">
        <v>206</v>
      </c>
      <c r="I39" s="8" t="s">
        <v>199</v>
      </c>
      <c r="J39" s="6" t="s">
        <v>231</v>
      </c>
      <c r="K39" s="6" t="s">
        <v>249</v>
      </c>
      <c r="L39" s="2">
        <v>60</v>
      </c>
      <c r="M39" s="2">
        <v>33</v>
      </c>
      <c r="N39" s="2" t="s">
        <v>237</v>
      </c>
      <c r="O39" s="40">
        <v>16</v>
      </c>
      <c r="P39" s="43">
        <f t="shared" si="1"/>
        <v>528</v>
      </c>
    </row>
    <row r="40" spans="1:16" ht="70" customHeight="1" x14ac:dyDescent="0.35">
      <c r="B40" s="5" t="s">
        <v>259</v>
      </c>
      <c r="C40" s="24" t="s">
        <v>13</v>
      </c>
      <c r="D40" s="5" t="s">
        <v>260</v>
      </c>
      <c r="E40" s="5" t="s">
        <v>261</v>
      </c>
      <c r="F40" s="5" t="s">
        <v>204</v>
      </c>
      <c r="G40" s="5" t="s">
        <v>214</v>
      </c>
      <c r="H40" s="5" t="s">
        <v>215</v>
      </c>
      <c r="I40" s="8"/>
      <c r="J40" s="6" t="s">
        <v>232</v>
      </c>
      <c r="K40" s="6" t="s">
        <v>248</v>
      </c>
      <c r="L40" s="2">
        <v>100</v>
      </c>
      <c r="M40" s="2">
        <v>55</v>
      </c>
      <c r="N40" s="2" t="s">
        <v>238</v>
      </c>
      <c r="O40" s="40">
        <v>16</v>
      </c>
      <c r="P40" s="43">
        <f t="shared" si="1"/>
        <v>880</v>
      </c>
    </row>
    <row r="41" spans="1:16" ht="70" customHeight="1" x14ac:dyDescent="0.35">
      <c r="B41" s="5" t="s">
        <v>263</v>
      </c>
      <c r="C41" s="23" t="s">
        <v>17</v>
      </c>
      <c r="D41" s="5" t="s">
        <v>262</v>
      </c>
      <c r="E41" s="5" t="s">
        <v>261</v>
      </c>
      <c r="F41" s="5" t="s">
        <v>204</v>
      </c>
      <c r="G41" s="5" t="s">
        <v>214</v>
      </c>
      <c r="H41" s="5" t="s">
        <v>215</v>
      </c>
      <c r="I41" s="8"/>
      <c r="J41" s="6" t="s">
        <v>232</v>
      </c>
      <c r="K41" s="6" t="s">
        <v>248</v>
      </c>
      <c r="L41" s="2">
        <v>100</v>
      </c>
      <c r="M41" s="2">
        <v>55</v>
      </c>
      <c r="N41" s="2" t="s">
        <v>237</v>
      </c>
      <c r="O41" s="40">
        <v>16</v>
      </c>
      <c r="P41" s="43">
        <f t="shared" si="1"/>
        <v>880</v>
      </c>
    </row>
    <row r="42" spans="1:16" ht="70" customHeight="1" x14ac:dyDescent="0.35">
      <c r="A42" t="s">
        <v>11</v>
      </c>
      <c r="B42" s="5" t="s">
        <v>78</v>
      </c>
      <c r="C42" s="24" t="s">
        <v>13</v>
      </c>
      <c r="D42" s="5" t="s">
        <v>79</v>
      </c>
      <c r="E42" s="5" t="s">
        <v>80</v>
      </c>
      <c r="F42" s="5" t="s">
        <v>204</v>
      </c>
      <c r="G42" s="5" t="s">
        <v>205</v>
      </c>
      <c r="H42" s="5" t="s">
        <v>206</v>
      </c>
      <c r="I42" s="6"/>
      <c r="J42" s="6" t="s">
        <v>230</v>
      </c>
      <c r="K42" s="6" t="s">
        <v>249</v>
      </c>
      <c r="L42" s="2">
        <v>65</v>
      </c>
      <c r="M42" s="2">
        <v>35.75</v>
      </c>
      <c r="N42" s="2" t="s">
        <v>238</v>
      </c>
      <c r="O42" s="40">
        <v>16</v>
      </c>
      <c r="P42" s="43">
        <f t="shared" si="1"/>
        <v>572</v>
      </c>
    </row>
    <row r="43" spans="1:16" ht="70" customHeight="1" x14ac:dyDescent="0.35">
      <c r="A43" t="s">
        <v>11</v>
      </c>
      <c r="B43" s="5" t="s">
        <v>81</v>
      </c>
      <c r="C43" s="24" t="s">
        <v>13</v>
      </c>
      <c r="D43" s="5" t="s">
        <v>79</v>
      </c>
      <c r="E43" s="5" t="s">
        <v>15</v>
      </c>
      <c r="F43" s="5" t="s">
        <v>204</v>
      </c>
      <c r="G43" s="5" t="s">
        <v>205</v>
      </c>
      <c r="H43" s="5" t="s">
        <v>206</v>
      </c>
      <c r="I43" s="8" t="s">
        <v>199</v>
      </c>
      <c r="J43" s="6" t="s">
        <v>230</v>
      </c>
      <c r="K43" s="6" t="s">
        <v>249</v>
      </c>
      <c r="L43" s="2">
        <v>65</v>
      </c>
      <c r="M43" s="2">
        <v>35.75</v>
      </c>
      <c r="N43" s="2" t="s">
        <v>238</v>
      </c>
      <c r="O43" s="40">
        <v>24</v>
      </c>
      <c r="P43" s="43">
        <f t="shared" si="1"/>
        <v>858</v>
      </c>
    </row>
    <row r="44" spans="1:16" ht="70" customHeight="1" x14ac:dyDescent="0.35">
      <c r="A44" t="s">
        <v>11</v>
      </c>
      <c r="B44" s="5" t="s">
        <v>82</v>
      </c>
      <c r="C44" s="24" t="s">
        <v>13</v>
      </c>
      <c r="D44" s="5" t="s">
        <v>79</v>
      </c>
      <c r="E44" s="5" t="s">
        <v>39</v>
      </c>
      <c r="F44" s="5" t="s">
        <v>204</v>
      </c>
      <c r="G44" s="5" t="s">
        <v>205</v>
      </c>
      <c r="H44" s="5" t="s">
        <v>206</v>
      </c>
      <c r="I44" s="6"/>
      <c r="J44" s="6" t="s">
        <v>230</v>
      </c>
      <c r="K44" s="6" t="s">
        <v>249</v>
      </c>
      <c r="L44" s="2">
        <v>65</v>
      </c>
      <c r="M44" s="2">
        <v>35.75</v>
      </c>
      <c r="N44" s="2" t="s">
        <v>238</v>
      </c>
      <c r="O44" s="40">
        <v>24</v>
      </c>
      <c r="P44" s="43">
        <f t="shared" si="1"/>
        <v>858</v>
      </c>
    </row>
    <row r="45" spans="1:16" ht="70" customHeight="1" x14ac:dyDescent="0.35">
      <c r="A45" t="s">
        <v>11</v>
      </c>
      <c r="B45" s="5" t="s">
        <v>83</v>
      </c>
      <c r="C45" s="23" t="s">
        <v>17</v>
      </c>
      <c r="D45" s="5" t="s">
        <v>84</v>
      </c>
      <c r="E45" s="5" t="s">
        <v>15</v>
      </c>
      <c r="F45" s="5" t="s">
        <v>204</v>
      </c>
      <c r="G45" s="5" t="s">
        <v>205</v>
      </c>
      <c r="H45" s="5" t="s">
        <v>206</v>
      </c>
      <c r="I45" s="8" t="s">
        <v>199</v>
      </c>
      <c r="J45" s="6" t="s">
        <v>230</v>
      </c>
      <c r="K45" s="6" t="s">
        <v>249</v>
      </c>
      <c r="L45" s="2">
        <v>65</v>
      </c>
      <c r="M45" s="2">
        <v>35.75</v>
      </c>
      <c r="N45" s="2" t="s">
        <v>237</v>
      </c>
      <c r="O45" s="40">
        <v>24</v>
      </c>
      <c r="P45" s="43">
        <f t="shared" si="1"/>
        <v>858</v>
      </c>
    </row>
    <row r="46" spans="1:16" ht="70" customHeight="1" x14ac:dyDescent="0.35">
      <c r="A46" t="s">
        <v>11</v>
      </c>
      <c r="B46" s="5" t="s">
        <v>85</v>
      </c>
      <c r="C46" s="23" t="s">
        <v>17</v>
      </c>
      <c r="D46" s="5" t="s">
        <v>84</v>
      </c>
      <c r="E46" s="5" t="s">
        <v>55</v>
      </c>
      <c r="F46" s="5" t="s">
        <v>204</v>
      </c>
      <c r="G46" s="5" t="s">
        <v>205</v>
      </c>
      <c r="H46" s="5" t="s">
        <v>206</v>
      </c>
      <c r="I46" s="8" t="s">
        <v>199</v>
      </c>
      <c r="J46" s="6" t="s">
        <v>231</v>
      </c>
      <c r="K46" s="6" t="s">
        <v>249</v>
      </c>
      <c r="L46" s="2">
        <v>65</v>
      </c>
      <c r="M46" s="2">
        <v>35.75</v>
      </c>
      <c r="N46" s="2" t="s">
        <v>237</v>
      </c>
      <c r="O46" s="40">
        <v>24</v>
      </c>
      <c r="P46" s="43">
        <f t="shared" si="1"/>
        <v>858</v>
      </c>
    </row>
    <row r="47" spans="1:16" ht="70" customHeight="1" x14ac:dyDescent="0.35">
      <c r="A47" t="s">
        <v>11</v>
      </c>
      <c r="B47" s="5" t="s">
        <v>86</v>
      </c>
      <c r="C47" s="23" t="s">
        <v>17</v>
      </c>
      <c r="D47" s="5" t="s">
        <v>84</v>
      </c>
      <c r="E47" s="5" t="s">
        <v>39</v>
      </c>
      <c r="F47" s="5" t="s">
        <v>204</v>
      </c>
      <c r="G47" s="5" t="s">
        <v>205</v>
      </c>
      <c r="H47" s="5" t="s">
        <v>206</v>
      </c>
      <c r="I47" s="8" t="s">
        <v>199</v>
      </c>
      <c r="J47" s="6" t="s">
        <v>230</v>
      </c>
      <c r="K47" s="6" t="s">
        <v>249</v>
      </c>
      <c r="L47" s="2">
        <v>65</v>
      </c>
      <c r="M47" s="2">
        <v>35.75</v>
      </c>
      <c r="N47" s="2" t="s">
        <v>237</v>
      </c>
      <c r="O47" s="40">
        <v>24</v>
      </c>
      <c r="P47" s="43">
        <f t="shared" si="1"/>
        <v>858</v>
      </c>
    </row>
    <row r="48" spans="1:16" ht="70" customHeight="1" x14ac:dyDescent="0.35">
      <c r="A48" t="s">
        <v>11</v>
      </c>
      <c r="B48" s="5" t="s">
        <v>87</v>
      </c>
      <c r="C48" s="23" t="s">
        <v>17</v>
      </c>
      <c r="D48" s="5" t="s">
        <v>88</v>
      </c>
      <c r="E48" s="5" t="s">
        <v>15</v>
      </c>
      <c r="F48" s="5" t="s">
        <v>204</v>
      </c>
      <c r="G48" s="5" t="s">
        <v>205</v>
      </c>
      <c r="H48" s="5" t="s">
        <v>206</v>
      </c>
      <c r="I48" s="8" t="s">
        <v>199</v>
      </c>
      <c r="J48" s="6" t="s">
        <v>230</v>
      </c>
      <c r="K48" s="6" t="s">
        <v>249</v>
      </c>
      <c r="L48" s="2">
        <v>70</v>
      </c>
      <c r="M48" s="2">
        <v>38.5</v>
      </c>
      <c r="N48" s="2" t="s">
        <v>238</v>
      </c>
      <c r="O48" s="40">
        <v>24</v>
      </c>
      <c r="P48" s="43">
        <f t="shared" si="1"/>
        <v>924</v>
      </c>
    </row>
    <row r="49" spans="1:16" ht="70" customHeight="1" x14ac:dyDescent="0.35">
      <c r="A49" t="s">
        <v>11</v>
      </c>
      <c r="B49" s="5" t="s">
        <v>89</v>
      </c>
      <c r="C49" s="23" t="s">
        <v>17</v>
      </c>
      <c r="D49" s="5" t="s">
        <v>88</v>
      </c>
      <c r="E49" s="5" t="s">
        <v>50</v>
      </c>
      <c r="F49" s="5" t="s">
        <v>204</v>
      </c>
      <c r="G49" s="5" t="s">
        <v>205</v>
      </c>
      <c r="H49" s="5" t="s">
        <v>206</v>
      </c>
      <c r="I49" s="6"/>
      <c r="J49" s="6" t="s">
        <v>230</v>
      </c>
      <c r="K49" s="6" t="s">
        <v>249</v>
      </c>
      <c r="L49" s="2">
        <v>70</v>
      </c>
      <c r="M49" s="2">
        <v>38.5</v>
      </c>
      <c r="N49" s="2" t="s">
        <v>237</v>
      </c>
      <c r="O49" s="40">
        <v>16</v>
      </c>
      <c r="P49" s="43">
        <f t="shared" si="1"/>
        <v>616</v>
      </c>
    </row>
    <row r="50" spans="1:16" ht="70" customHeight="1" x14ac:dyDescent="0.35">
      <c r="A50" t="s">
        <v>11</v>
      </c>
      <c r="B50" s="5" t="s">
        <v>90</v>
      </c>
      <c r="C50" s="24" t="s">
        <v>13</v>
      </c>
      <c r="D50" s="5" t="s">
        <v>91</v>
      </c>
      <c r="E50" s="5" t="s">
        <v>80</v>
      </c>
      <c r="F50" s="5" t="s">
        <v>204</v>
      </c>
      <c r="G50" s="5" t="s">
        <v>205</v>
      </c>
      <c r="H50" s="5" t="s">
        <v>206</v>
      </c>
      <c r="I50" s="8" t="s">
        <v>199</v>
      </c>
      <c r="J50" s="6" t="s">
        <v>230</v>
      </c>
      <c r="K50" s="6" t="s">
        <v>249</v>
      </c>
      <c r="L50" s="2">
        <v>70</v>
      </c>
      <c r="M50" s="2">
        <v>38.5</v>
      </c>
      <c r="N50" s="2" t="s">
        <v>238</v>
      </c>
      <c r="O50" s="40">
        <v>24</v>
      </c>
      <c r="P50" s="43">
        <f t="shared" si="1"/>
        <v>924</v>
      </c>
    </row>
    <row r="51" spans="1:16" ht="70" customHeight="1" x14ac:dyDescent="0.35">
      <c r="A51" t="s">
        <v>11</v>
      </c>
      <c r="B51" s="5" t="s">
        <v>92</v>
      </c>
      <c r="C51" s="24" t="s">
        <v>13</v>
      </c>
      <c r="D51" s="5" t="s">
        <v>91</v>
      </c>
      <c r="E51" s="5" t="s">
        <v>15</v>
      </c>
      <c r="F51" s="5" t="s">
        <v>204</v>
      </c>
      <c r="G51" s="5" t="s">
        <v>205</v>
      </c>
      <c r="H51" s="5" t="s">
        <v>206</v>
      </c>
      <c r="I51" s="8" t="s">
        <v>199</v>
      </c>
      <c r="J51" s="6" t="s">
        <v>230</v>
      </c>
      <c r="K51" s="6" t="s">
        <v>249</v>
      </c>
      <c r="L51" s="2">
        <v>70</v>
      </c>
      <c r="M51" s="2">
        <v>38.5</v>
      </c>
      <c r="N51" s="2" t="s">
        <v>238</v>
      </c>
      <c r="O51" s="40">
        <v>24</v>
      </c>
      <c r="P51" s="43">
        <f t="shared" si="1"/>
        <v>924</v>
      </c>
    </row>
    <row r="52" spans="1:16" ht="70" customHeight="1" x14ac:dyDescent="0.35">
      <c r="A52" t="s">
        <v>11</v>
      </c>
      <c r="B52" s="5" t="s">
        <v>93</v>
      </c>
      <c r="C52" s="24" t="s">
        <v>13</v>
      </c>
      <c r="D52" s="5" t="s">
        <v>94</v>
      </c>
      <c r="E52" s="5" t="s">
        <v>95</v>
      </c>
      <c r="F52" s="5" t="s">
        <v>204</v>
      </c>
      <c r="G52" s="5" t="s">
        <v>205</v>
      </c>
      <c r="H52" s="5" t="s">
        <v>206</v>
      </c>
      <c r="I52" s="8" t="s">
        <v>199</v>
      </c>
      <c r="J52" s="6" t="s">
        <v>230</v>
      </c>
      <c r="K52" s="6" t="s">
        <v>249</v>
      </c>
      <c r="L52" s="2">
        <v>90</v>
      </c>
      <c r="M52" s="2">
        <v>49.500000000000007</v>
      </c>
      <c r="N52" s="2" t="s">
        <v>237</v>
      </c>
      <c r="O52" s="40">
        <v>16</v>
      </c>
      <c r="P52" s="43">
        <f t="shared" si="1"/>
        <v>792.00000000000011</v>
      </c>
    </row>
    <row r="53" spans="1:16" ht="70" customHeight="1" x14ac:dyDescent="0.35">
      <c r="A53" t="s">
        <v>11</v>
      </c>
      <c r="B53" s="5" t="s">
        <v>96</v>
      </c>
      <c r="C53" s="24" t="s">
        <v>13</v>
      </c>
      <c r="D53" s="5" t="s">
        <v>94</v>
      </c>
      <c r="E53" s="5" t="s">
        <v>97</v>
      </c>
      <c r="F53" s="5" t="s">
        <v>204</v>
      </c>
      <c r="G53" s="5" t="s">
        <v>205</v>
      </c>
      <c r="H53" s="5" t="s">
        <v>206</v>
      </c>
      <c r="I53" s="8" t="s">
        <v>199</v>
      </c>
      <c r="J53" s="6" t="s">
        <v>230</v>
      </c>
      <c r="K53" s="6" t="s">
        <v>249</v>
      </c>
      <c r="L53" s="2">
        <v>90</v>
      </c>
      <c r="M53" s="2">
        <v>49.500000000000007</v>
      </c>
      <c r="N53" s="2" t="s">
        <v>237</v>
      </c>
      <c r="O53" s="40">
        <v>16</v>
      </c>
      <c r="P53" s="43">
        <f t="shared" si="1"/>
        <v>792.00000000000011</v>
      </c>
    </row>
    <row r="54" spans="1:16" ht="70" customHeight="1" x14ac:dyDescent="0.35">
      <c r="A54" t="s">
        <v>11</v>
      </c>
      <c r="B54" s="5" t="s">
        <v>98</v>
      </c>
      <c r="C54" s="23" t="s">
        <v>17</v>
      </c>
      <c r="D54" s="5" t="s">
        <v>99</v>
      </c>
      <c r="E54" s="5" t="s">
        <v>95</v>
      </c>
      <c r="F54" s="5" t="s">
        <v>204</v>
      </c>
      <c r="G54" s="5" t="s">
        <v>205</v>
      </c>
      <c r="H54" s="5" t="s">
        <v>206</v>
      </c>
      <c r="I54" s="8" t="s">
        <v>199</v>
      </c>
      <c r="J54" s="6" t="s">
        <v>230</v>
      </c>
      <c r="K54" s="6" t="s">
        <v>249</v>
      </c>
      <c r="L54" s="2">
        <v>90</v>
      </c>
      <c r="M54" s="2">
        <v>49.500000000000007</v>
      </c>
      <c r="N54" s="2" t="s">
        <v>237</v>
      </c>
      <c r="O54" s="40">
        <v>16</v>
      </c>
      <c r="P54" s="43">
        <f t="shared" si="1"/>
        <v>792.00000000000011</v>
      </c>
    </row>
    <row r="55" spans="1:16" ht="70" customHeight="1" x14ac:dyDescent="0.35">
      <c r="A55" t="s">
        <v>11</v>
      </c>
      <c r="B55" s="5" t="s">
        <v>100</v>
      </c>
      <c r="C55" s="23" t="s">
        <v>17</v>
      </c>
      <c r="D55" s="5" t="s">
        <v>99</v>
      </c>
      <c r="E55" s="5" t="s">
        <v>101</v>
      </c>
      <c r="F55" s="5" t="s">
        <v>204</v>
      </c>
      <c r="G55" s="5" t="s">
        <v>205</v>
      </c>
      <c r="H55" s="5" t="s">
        <v>206</v>
      </c>
      <c r="I55" s="6"/>
      <c r="J55" s="6" t="s">
        <v>230</v>
      </c>
      <c r="K55" s="6" t="s">
        <v>249</v>
      </c>
      <c r="L55" s="2">
        <v>90</v>
      </c>
      <c r="M55" s="2">
        <v>49.500000000000007</v>
      </c>
      <c r="N55" s="2" t="s">
        <v>237</v>
      </c>
      <c r="O55" s="40">
        <v>16</v>
      </c>
      <c r="P55" s="43">
        <f t="shared" si="1"/>
        <v>792.00000000000011</v>
      </c>
    </row>
    <row r="56" spans="1:16" ht="70" customHeight="1" x14ac:dyDescent="0.35">
      <c r="A56" t="s">
        <v>11</v>
      </c>
      <c r="B56" s="5" t="s">
        <v>103</v>
      </c>
      <c r="C56" s="24" t="s">
        <v>13</v>
      </c>
      <c r="D56" s="5" t="s">
        <v>102</v>
      </c>
      <c r="E56" s="5" t="s">
        <v>104</v>
      </c>
      <c r="F56" s="5" t="s">
        <v>213</v>
      </c>
      <c r="G56" s="5" t="s">
        <v>205</v>
      </c>
      <c r="H56" s="5" t="s">
        <v>206</v>
      </c>
      <c r="I56" s="8" t="s">
        <v>199</v>
      </c>
      <c r="J56" s="6" t="s">
        <v>230</v>
      </c>
      <c r="K56" s="6" t="s">
        <v>249</v>
      </c>
      <c r="L56" s="2">
        <v>120</v>
      </c>
      <c r="M56" s="2">
        <v>66</v>
      </c>
      <c r="N56" s="2" t="s">
        <v>237</v>
      </c>
      <c r="O56" s="40">
        <v>16</v>
      </c>
      <c r="P56" s="43">
        <f t="shared" si="1"/>
        <v>1056</v>
      </c>
    </row>
    <row r="57" spans="1:16" ht="70" customHeight="1" x14ac:dyDescent="0.35">
      <c r="A57" t="s">
        <v>11</v>
      </c>
      <c r="B57" s="5" t="s">
        <v>106</v>
      </c>
      <c r="C57" s="23" t="s">
        <v>17</v>
      </c>
      <c r="D57" s="5" t="s">
        <v>105</v>
      </c>
      <c r="E57" s="5" t="s">
        <v>107</v>
      </c>
      <c r="F57" s="5" t="s">
        <v>213</v>
      </c>
      <c r="G57" s="5" t="s">
        <v>205</v>
      </c>
      <c r="H57" s="5" t="s">
        <v>206</v>
      </c>
      <c r="I57" s="8" t="s">
        <v>199</v>
      </c>
      <c r="J57" s="6" t="s">
        <v>230</v>
      </c>
      <c r="K57" s="6" t="s">
        <v>249</v>
      </c>
      <c r="L57" s="2">
        <v>120</v>
      </c>
      <c r="M57" s="2">
        <v>66</v>
      </c>
      <c r="N57" s="2" t="s">
        <v>237</v>
      </c>
      <c r="O57" s="40">
        <v>16</v>
      </c>
      <c r="P57" s="43">
        <f t="shared" si="1"/>
        <v>1056</v>
      </c>
    </row>
    <row r="58" spans="1:16" ht="70" customHeight="1" x14ac:dyDescent="0.35">
      <c r="A58" t="s">
        <v>11</v>
      </c>
      <c r="B58" s="5" t="s">
        <v>108</v>
      </c>
      <c r="C58" s="23" t="s">
        <v>17</v>
      </c>
      <c r="D58" s="5" t="s">
        <v>109</v>
      </c>
      <c r="E58" s="5" t="s">
        <v>32</v>
      </c>
      <c r="F58" s="5" t="s">
        <v>204</v>
      </c>
      <c r="G58" s="5" t="s">
        <v>214</v>
      </c>
      <c r="H58" s="5" t="s">
        <v>215</v>
      </c>
      <c r="I58" s="6"/>
      <c r="J58" s="6" t="s">
        <v>232</v>
      </c>
      <c r="K58" s="6" t="s">
        <v>249</v>
      </c>
      <c r="L58" s="2">
        <v>70</v>
      </c>
      <c r="M58" s="2">
        <v>38.5</v>
      </c>
      <c r="N58" s="2" t="s">
        <v>237</v>
      </c>
      <c r="O58" s="40">
        <v>16</v>
      </c>
      <c r="P58" s="43">
        <f t="shared" si="1"/>
        <v>616</v>
      </c>
    </row>
    <row r="59" spans="1:16" ht="70" customHeight="1" x14ac:dyDescent="0.35">
      <c r="A59" t="s">
        <v>11</v>
      </c>
      <c r="B59" s="5" t="s">
        <v>110</v>
      </c>
      <c r="C59" s="24" t="s">
        <v>13</v>
      </c>
      <c r="D59" s="5" t="s">
        <v>111</v>
      </c>
      <c r="E59" s="5" t="s">
        <v>112</v>
      </c>
      <c r="F59" s="5" t="s">
        <v>204</v>
      </c>
      <c r="G59" s="5" t="s">
        <v>205</v>
      </c>
      <c r="H59" s="5" t="s">
        <v>206</v>
      </c>
      <c r="I59" s="6"/>
      <c r="J59" s="6" t="s">
        <v>233</v>
      </c>
      <c r="K59" s="6" t="s">
        <v>249</v>
      </c>
      <c r="L59" s="2">
        <v>55</v>
      </c>
      <c r="M59" s="2">
        <v>30.250000000000004</v>
      </c>
      <c r="N59" s="2" t="s">
        <v>237</v>
      </c>
      <c r="O59" s="40">
        <v>16</v>
      </c>
      <c r="P59" s="43">
        <f t="shared" si="1"/>
        <v>484.00000000000006</v>
      </c>
    </row>
    <row r="60" spans="1:16" ht="70" customHeight="1" x14ac:dyDescent="0.35">
      <c r="A60" t="s">
        <v>11</v>
      </c>
      <c r="B60" s="5" t="s">
        <v>113</v>
      </c>
      <c r="C60" s="24" t="s">
        <v>13</v>
      </c>
      <c r="D60" s="5" t="s">
        <v>114</v>
      </c>
      <c r="E60" s="5" t="s">
        <v>112</v>
      </c>
      <c r="F60" s="5" t="s">
        <v>204</v>
      </c>
      <c r="G60" s="5" t="s">
        <v>205</v>
      </c>
      <c r="H60" s="5" t="s">
        <v>206</v>
      </c>
      <c r="I60" s="6"/>
      <c r="J60" s="6" t="s">
        <v>233</v>
      </c>
      <c r="K60" s="6" t="s">
        <v>249</v>
      </c>
      <c r="L60" s="2">
        <v>60</v>
      </c>
      <c r="M60" s="2">
        <v>33</v>
      </c>
      <c r="N60" s="2" t="s">
        <v>237</v>
      </c>
      <c r="O60" s="40">
        <v>16</v>
      </c>
      <c r="P60" s="43">
        <f t="shared" si="1"/>
        <v>528</v>
      </c>
    </row>
    <row r="61" spans="1:16" ht="70" customHeight="1" x14ac:dyDescent="0.35">
      <c r="A61" t="s">
        <v>11</v>
      </c>
      <c r="B61" s="5" t="s">
        <v>115</v>
      </c>
      <c r="C61" s="23" t="s">
        <v>17</v>
      </c>
      <c r="D61" s="5" t="s">
        <v>116</v>
      </c>
      <c r="E61" s="5" t="s">
        <v>112</v>
      </c>
      <c r="F61" s="5" t="s">
        <v>204</v>
      </c>
      <c r="G61" s="5" t="s">
        <v>205</v>
      </c>
      <c r="H61" s="5" t="s">
        <v>206</v>
      </c>
      <c r="I61" s="8" t="s">
        <v>199</v>
      </c>
      <c r="J61" s="6" t="s">
        <v>233</v>
      </c>
      <c r="K61" s="6" t="s">
        <v>249</v>
      </c>
      <c r="L61" s="2">
        <v>60</v>
      </c>
      <c r="M61" s="2">
        <v>33</v>
      </c>
      <c r="N61" s="2" t="s">
        <v>237</v>
      </c>
      <c r="O61" s="40">
        <v>16</v>
      </c>
      <c r="P61" s="43">
        <f t="shared" si="1"/>
        <v>528</v>
      </c>
    </row>
    <row r="62" spans="1:16" ht="70" customHeight="1" x14ac:dyDescent="0.35">
      <c r="A62" t="s">
        <v>11</v>
      </c>
      <c r="B62" s="5" t="s">
        <v>117</v>
      </c>
      <c r="C62" s="24" t="s">
        <v>13</v>
      </c>
      <c r="D62" s="5" t="s">
        <v>118</v>
      </c>
      <c r="E62" s="5" t="s">
        <v>119</v>
      </c>
      <c r="F62" s="5" t="s">
        <v>204</v>
      </c>
      <c r="G62" s="5" t="s">
        <v>205</v>
      </c>
      <c r="H62" s="5" t="s">
        <v>206</v>
      </c>
      <c r="I62" s="6"/>
      <c r="J62" s="6" t="s">
        <v>234</v>
      </c>
      <c r="K62" s="6" t="s">
        <v>249</v>
      </c>
      <c r="L62" s="2">
        <v>60</v>
      </c>
      <c r="M62" s="2">
        <v>33</v>
      </c>
      <c r="N62" s="2" t="s">
        <v>238</v>
      </c>
      <c r="O62" s="40">
        <v>16</v>
      </c>
      <c r="P62" s="43">
        <f t="shared" si="1"/>
        <v>528</v>
      </c>
    </row>
    <row r="63" spans="1:16" ht="70" customHeight="1" x14ac:dyDescent="0.35">
      <c r="A63" t="s">
        <v>11</v>
      </c>
      <c r="B63" s="5" t="s">
        <v>120</v>
      </c>
      <c r="C63" s="24" t="s">
        <v>13</v>
      </c>
      <c r="D63" s="5" t="s">
        <v>121</v>
      </c>
      <c r="E63" s="5" t="s">
        <v>119</v>
      </c>
      <c r="F63" s="5" t="s">
        <v>204</v>
      </c>
      <c r="G63" s="5" t="s">
        <v>205</v>
      </c>
      <c r="H63" s="5" t="s">
        <v>206</v>
      </c>
      <c r="I63" s="8" t="s">
        <v>199</v>
      </c>
      <c r="J63" s="6" t="s">
        <v>234</v>
      </c>
      <c r="K63" s="6" t="s">
        <v>249</v>
      </c>
      <c r="L63" s="2">
        <v>70</v>
      </c>
      <c r="M63" s="2">
        <v>38.5</v>
      </c>
      <c r="N63" s="2" t="s">
        <v>238</v>
      </c>
      <c r="O63" s="40">
        <v>16</v>
      </c>
      <c r="P63" s="43">
        <f t="shared" si="1"/>
        <v>616</v>
      </c>
    </row>
    <row r="64" spans="1:16" ht="70" customHeight="1" x14ac:dyDescent="0.35">
      <c r="A64" t="s">
        <v>11</v>
      </c>
      <c r="B64" s="5" t="s">
        <v>122</v>
      </c>
      <c r="C64" s="23" t="s">
        <v>17</v>
      </c>
      <c r="D64" s="5" t="s">
        <v>123</v>
      </c>
      <c r="E64" s="5" t="s">
        <v>124</v>
      </c>
      <c r="F64" s="5" t="s">
        <v>204</v>
      </c>
      <c r="G64" s="5" t="s">
        <v>205</v>
      </c>
      <c r="H64" s="5" t="s">
        <v>206</v>
      </c>
      <c r="I64" s="6"/>
      <c r="J64" s="6" t="s">
        <v>11</v>
      </c>
      <c r="K64" s="6" t="s">
        <v>249</v>
      </c>
      <c r="L64" s="2">
        <v>55</v>
      </c>
      <c r="M64" s="2">
        <v>30.250000000000004</v>
      </c>
      <c r="N64" s="2" t="s">
        <v>237</v>
      </c>
      <c r="O64" s="40">
        <v>16</v>
      </c>
      <c r="P64" s="43">
        <f t="shared" si="1"/>
        <v>484.00000000000006</v>
      </c>
    </row>
    <row r="65" spans="1:16" ht="70" customHeight="1" x14ac:dyDescent="0.35">
      <c r="A65" t="s">
        <v>11</v>
      </c>
      <c r="B65" s="5" t="s">
        <v>125</v>
      </c>
      <c r="C65" s="23" t="s">
        <v>17</v>
      </c>
      <c r="D65" s="5" t="s">
        <v>126</v>
      </c>
      <c r="E65" s="5" t="s">
        <v>112</v>
      </c>
      <c r="F65" s="5" t="s">
        <v>204</v>
      </c>
      <c r="G65" s="5" t="s">
        <v>205</v>
      </c>
      <c r="H65" s="5" t="s">
        <v>206</v>
      </c>
      <c r="I65" s="6"/>
      <c r="J65" s="6" t="s">
        <v>11</v>
      </c>
      <c r="K65" s="6" t="s">
        <v>249</v>
      </c>
      <c r="L65" s="2">
        <v>55</v>
      </c>
      <c r="M65" s="2">
        <v>30.250000000000004</v>
      </c>
      <c r="N65" s="2" t="s">
        <v>237</v>
      </c>
      <c r="O65" s="40">
        <v>16</v>
      </c>
      <c r="P65" s="43">
        <f t="shared" si="1"/>
        <v>484.00000000000006</v>
      </c>
    </row>
    <row r="66" spans="1:16" ht="70" customHeight="1" x14ac:dyDescent="0.35">
      <c r="A66" t="s">
        <v>11</v>
      </c>
      <c r="B66" s="5" t="s">
        <v>127</v>
      </c>
      <c r="C66" s="23" t="s">
        <v>17</v>
      </c>
      <c r="D66" s="5" t="s">
        <v>128</v>
      </c>
      <c r="E66" s="5" t="s">
        <v>124</v>
      </c>
      <c r="F66" s="5" t="s">
        <v>204</v>
      </c>
      <c r="G66" s="5" t="s">
        <v>205</v>
      </c>
      <c r="H66" s="5" t="s">
        <v>206</v>
      </c>
      <c r="I66" s="8" t="s">
        <v>199</v>
      </c>
      <c r="J66" s="6" t="s">
        <v>11</v>
      </c>
      <c r="K66" s="6" t="s">
        <v>249</v>
      </c>
      <c r="L66" s="2">
        <v>60</v>
      </c>
      <c r="M66" s="2">
        <v>33</v>
      </c>
      <c r="N66" s="2" t="s">
        <v>237</v>
      </c>
      <c r="O66" s="40">
        <v>16</v>
      </c>
      <c r="P66" s="43">
        <f t="shared" si="1"/>
        <v>528</v>
      </c>
    </row>
    <row r="67" spans="1:16" ht="70" customHeight="1" x14ac:dyDescent="0.35">
      <c r="A67" t="s">
        <v>11</v>
      </c>
      <c r="B67" s="5" t="s">
        <v>129</v>
      </c>
      <c r="C67" s="23" t="s">
        <v>17</v>
      </c>
      <c r="D67" s="5" t="s">
        <v>130</v>
      </c>
      <c r="E67" s="5" t="s">
        <v>124</v>
      </c>
      <c r="F67" s="5" t="s">
        <v>204</v>
      </c>
      <c r="G67" s="5" t="s">
        <v>205</v>
      </c>
      <c r="H67" s="5" t="s">
        <v>206</v>
      </c>
      <c r="I67" s="6"/>
      <c r="J67" s="6" t="s">
        <v>11</v>
      </c>
      <c r="K67" s="6" t="s">
        <v>249</v>
      </c>
      <c r="L67" s="2">
        <v>75</v>
      </c>
      <c r="M67" s="2">
        <v>41.25</v>
      </c>
      <c r="N67" s="2" t="s">
        <v>237</v>
      </c>
      <c r="O67" s="40">
        <v>16</v>
      </c>
      <c r="P67" s="43">
        <f t="shared" si="1"/>
        <v>660</v>
      </c>
    </row>
    <row r="68" spans="1:16" ht="70" customHeight="1" x14ac:dyDescent="0.35">
      <c r="A68" t="s">
        <v>11</v>
      </c>
      <c r="B68" s="5" t="s">
        <v>131</v>
      </c>
      <c r="C68" s="25" t="s">
        <v>132</v>
      </c>
      <c r="D68" s="5" t="s">
        <v>133</v>
      </c>
      <c r="E68" s="5" t="s">
        <v>15</v>
      </c>
      <c r="F68" s="5" t="s">
        <v>210</v>
      </c>
      <c r="G68" s="5" t="s">
        <v>211</v>
      </c>
      <c r="H68" s="5" t="s">
        <v>212</v>
      </c>
      <c r="I68" s="6"/>
      <c r="J68" s="6" t="s">
        <v>230</v>
      </c>
      <c r="K68" s="6" t="s">
        <v>249</v>
      </c>
      <c r="L68" s="2">
        <v>45</v>
      </c>
      <c r="M68" s="2">
        <v>24.750000000000004</v>
      </c>
      <c r="N68" s="2"/>
      <c r="O68" s="40"/>
      <c r="P68" s="43">
        <f t="shared" ref="P68:P99" si="2">M68*O68</f>
        <v>0</v>
      </c>
    </row>
    <row r="69" spans="1:16" ht="70" customHeight="1" x14ac:dyDescent="0.35">
      <c r="A69" t="s">
        <v>11</v>
      </c>
      <c r="B69" s="5" t="s">
        <v>134</v>
      </c>
      <c r="C69" s="5" t="s">
        <v>132</v>
      </c>
      <c r="D69" s="5" t="s">
        <v>135</v>
      </c>
      <c r="E69" s="5" t="s">
        <v>136</v>
      </c>
      <c r="F69" s="5" t="s">
        <v>216</v>
      </c>
      <c r="G69" s="5" t="s">
        <v>217</v>
      </c>
      <c r="H69" s="5" t="s">
        <v>218</v>
      </c>
      <c r="I69" s="6"/>
      <c r="J69" s="6" t="s">
        <v>230</v>
      </c>
      <c r="K69" s="6" t="s">
        <v>247</v>
      </c>
      <c r="L69" s="2">
        <v>35</v>
      </c>
      <c r="M69" s="2">
        <v>19.25</v>
      </c>
      <c r="N69" s="2" t="s">
        <v>238</v>
      </c>
      <c r="O69" s="40">
        <v>24</v>
      </c>
      <c r="P69" s="43">
        <f t="shared" si="2"/>
        <v>462</v>
      </c>
    </row>
    <row r="70" spans="1:16" ht="70" customHeight="1" x14ac:dyDescent="0.35">
      <c r="A70" t="s">
        <v>11</v>
      </c>
      <c r="B70" s="5" t="s">
        <v>137</v>
      </c>
      <c r="C70" s="5" t="s">
        <v>132</v>
      </c>
      <c r="D70" s="5" t="s">
        <v>135</v>
      </c>
      <c r="E70" s="5" t="s">
        <v>138</v>
      </c>
      <c r="F70" s="5" t="s">
        <v>216</v>
      </c>
      <c r="G70" s="5" t="s">
        <v>217</v>
      </c>
      <c r="H70" s="5" t="s">
        <v>218</v>
      </c>
      <c r="I70" s="6"/>
      <c r="J70" s="6" t="s">
        <v>230</v>
      </c>
      <c r="K70" s="6" t="s">
        <v>247</v>
      </c>
      <c r="L70" s="2">
        <v>35</v>
      </c>
      <c r="M70" s="2">
        <v>19.25</v>
      </c>
      <c r="N70" s="2" t="s">
        <v>238</v>
      </c>
      <c r="O70" s="40">
        <v>24</v>
      </c>
      <c r="P70" s="43">
        <f t="shared" si="2"/>
        <v>462</v>
      </c>
    </row>
    <row r="71" spans="1:16" ht="70" customHeight="1" x14ac:dyDescent="0.35">
      <c r="A71" t="s">
        <v>11</v>
      </c>
      <c r="B71" s="5" t="s">
        <v>140</v>
      </c>
      <c r="C71" s="5" t="s">
        <v>132</v>
      </c>
      <c r="D71" s="5" t="s">
        <v>141</v>
      </c>
      <c r="E71" s="5" t="s">
        <v>136</v>
      </c>
      <c r="F71" s="5" t="s">
        <v>216</v>
      </c>
      <c r="G71" s="5" t="s">
        <v>217</v>
      </c>
      <c r="H71" s="5" t="s">
        <v>219</v>
      </c>
      <c r="I71" s="6"/>
      <c r="J71" s="6" t="s">
        <v>230</v>
      </c>
      <c r="K71" s="6" t="s">
        <v>247</v>
      </c>
      <c r="L71" s="2">
        <v>45</v>
      </c>
      <c r="M71" s="2">
        <v>24.750000000000004</v>
      </c>
      <c r="N71" s="2" t="s">
        <v>238</v>
      </c>
      <c r="O71" s="40">
        <v>24</v>
      </c>
      <c r="P71" s="43">
        <f t="shared" si="2"/>
        <v>594.00000000000011</v>
      </c>
    </row>
    <row r="72" spans="1:16" ht="70" customHeight="1" x14ac:dyDescent="0.35">
      <c r="A72" t="s">
        <v>11</v>
      </c>
      <c r="B72" s="5" t="s">
        <v>142</v>
      </c>
      <c r="C72" s="5" t="s">
        <v>132</v>
      </c>
      <c r="D72" s="5" t="s">
        <v>141</v>
      </c>
      <c r="E72" s="5" t="s">
        <v>139</v>
      </c>
      <c r="F72" s="5" t="s">
        <v>216</v>
      </c>
      <c r="G72" s="5" t="s">
        <v>217</v>
      </c>
      <c r="H72" s="5" t="s">
        <v>219</v>
      </c>
      <c r="I72" s="8" t="s">
        <v>199</v>
      </c>
      <c r="J72" s="6"/>
      <c r="K72" s="6" t="s">
        <v>248</v>
      </c>
      <c r="L72" s="2">
        <v>45</v>
      </c>
      <c r="M72" s="2">
        <v>24.750000000000004</v>
      </c>
      <c r="N72" s="2" t="s">
        <v>240</v>
      </c>
      <c r="O72" s="40">
        <v>24</v>
      </c>
      <c r="P72" s="43">
        <f t="shared" si="2"/>
        <v>594.00000000000011</v>
      </c>
    </row>
    <row r="73" spans="1:16" ht="70" customHeight="1" x14ac:dyDescent="0.35">
      <c r="A73" t="s">
        <v>11</v>
      </c>
      <c r="B73" s="5" t="s">
        <v>143</v>
      </c>
      <c r="C73" s="5" t="s">
        <v>132</v>
      </c>
      <c r="D73" s="5" t="s">
        <v>144</v>
      </c>
      <c r="E73" s="5" t="s">
        <v>15</v>
      </c>
      <c r="F73" s="5" t="s">
        <v>216</v>
      </c>
      <c r="G73" s="5" t="s">
        <v>220</v>
      </c>
      <c r="H73" s="5" t="s">
        <v>221</v>
      </c>
      <c r="I73" s="8" t="s">
        <v>199</v>
      </c>
      <c r="J73" s="6" t="s">
        <v>230</v>
      </c>
      <c r="K73" s="6" t="s">
        <v>247</v>
      </c>
      <c r="L73" s="2">
        <v>34</v>
      </c>
      <c r="M73" s="2">
        <v>18.700000000000003</v>
      </c>
      <c r="N73" s="39" t="s">
        <v>241</v>
      </c>
      <c r="O73" s="40">
        <v>18</v>
      </c>
      <c r="P73" s="43">
        <f t="shared" si="2"/>
        <v>336.6</v>
      </c>
    </row>
    <row r="74" spans="1:16" ht="70" customHeight="1" x14ac:dyDescent="0.35">
      <c r="A74" t="s">
        <v>11</v>
      </c>
      <c r="B74" s="5" t="s">
        <v>145</v>
      </c>
      <c r="C74" s="5" t="s">
        <v>132</v>
      </c>
      <c r="D74" s="5" t="s">
        <v>144</v>
      </c>
      <c r="E74" s="5" t="s">
        <v>146</v>
      </c>
      <c r="F74" s="5" t="s">
        <v>216</v>
      </c>
      <c r="G74" s="5" t="s">
        <v>220</v>
      </c>
      <c r="H74" s="5" t="s">
        <v>221</v>
      </c>
      <c r="I74" s="6"/>
      <c r="J74" s="6" t="s">
        <v>230</v>
      </c>
      <c r="K74" s="6" t="s">
        <v>248</v>
      </c>
      <c r="L74" s="2">
        <v>34</v>
      </c>
      <c r="M74" s="2">
        <v>18.700000000000003</v>
      </c>
      <c r="N74" s="39" t="s">
        <v>241</v>
      </c>
      <c r="O74" s="40">
        <v>12</v>
      </c>
      <c r="P74" s="43">
        <f t="shared" si="2"/>
        <v>224.40000000000003</v>
      </c>
    </row>
    <row r="75" spans="1:16" ht="70" customHeight="1" x14ac:dyDescent="0.35">
      <c r="A75" t="s">
        <v>11</v>
      </c>
      <c r="B75" s="5" t="s">
        <v>147</v>
      </c>
      <c r="C75" s="5" t="s">
        <v>132</v>
      </c>
      <c r="D75" s="5" t="s">
        <v>144</v>
      </c>
      <c r="E75" s="5" t="s">
        <v>148</v>
      </c>
      <c r="F75" s="5" t="s">
        <v>216</v>
      </c>
      <c r="G75" s="5" t="s">
        <v>220</v>
      </c>
      <c r="H75" s="5" t="s">
        <v>221</v>
      </c>
      <c r="I75" s="8" t="s">
        <v>199</v>
      </c>
      <c r="J75" s="6" t="s">
        <v>234</v>
      </c>
      <c r="K75" s="6" t="s">
        <v>248</v>
      </c>
      <c r="L75" s="2">
        <v>34</v>
      </c>
      <c r="M75" s="2">
        <v>18.700000000000003</v>
      </c>
      <c r="N75" s="39" t="s">
        <v>241</v>
      </c>
      <c r="O75" s="40">
        <v>12</v>
      </c>
      <c r="P75" s="43">
        <f t="shared" si="2"/>
        <v>224.40000000000003</v>
      </c>
    </row>
    <row r="76" spans="1:16" ht="70" customHeight="1" x14ac:dyDescent="0.35">
      <c r="A76" t="s">
        <v>11</v>
      </c>
      <c r="B76" s="5" t="s">
        <v>149</v>
      </c>
      <c r="C76" s="5" t="s">
        <v>132</v>
      </c>
      <c r="D76" s="5" t="s">
        <v>144</v>
      </c>
      <c r="E76" s="5" t="s">
        <v>41</v>
      </c>
      <c r="F76" s="5" t="s">
        <v>216</v>
      </c>
      <c r="G76" s="5" t="s">
        <v>220</v>
      </c>
      <c r="H76" s="5" t="s">
        <v>221</v>
      </c>
      <c r="I76" s="6"/>
      <c r="J76" s="6" t="s">
        <v>230</v>
      </c>
      <c r="K76" s="6" t="s">
        <v>247</v>
      </c>
      <c r="L76" s="2">
        <v>34</v>
      </c>
      <c r="M76" s="2">
        <v>18.700000000000003</v>
      </c>
      <c r="N76" s="39" t="s">
        <v>241</v>
      </c>
      <c r="O76" s="40"/>
      <c r="P76" s="43">
        <f t="shared" si="2"/>
        <v>0</v>
      </c>
    </row>
    <row r="77" spans="1:16" ht="70" customHeight="1" x14ac:dyDescent="0.35">
      <c r="A77" t="s">
        <v>11</v>
      </c>
      <c r="B77" s="5" t="s">
        <v>150</v>
      </c>
      <c r="C77" s="5" t="s">
        <v>132</v>
      </c>
      <c r="D77" s="5" t="s">
        <v>151</v>
      </c>
      <c r="E77" s="5" t="s">
        <v>15</v>
      </c>
      <c r="F77" s="5" t="s">
        <v>216</v>
      </c>
      <c r="G77" s="5" t="s">
        <v>217</v>
      </c>
      <c r="H77" s="5" t="s">
        <v>219</v>
      </c>
      <c r="I77" s="6"/>
      <c r="J77" s="6" t="s">
        <v>230</v>
      </c>
      <c r="K77" s="6" t="s">
        <v>247</v>
      </c>
      <c r="L77" s="2">
        <v>20</v>
      </c>
      <c r="M77" s="2">
        <v>11</v>
      </c>
      <c r="N77" s="2" t="s">
        <v>238</v>
      </c>
      <c r="O77" s="40">
        <v>18</v>
      </c>
      <c r="P77" s="43">
        <f t="shared" si="2"/>
        <v>198</v>
      </c>
    </row>
    <row r="78" spans="1:16" ht="70" customHeight="1" x14ac:dyDescent="0.35">
      <c r="A78" t="s">
        <v>11</v>
      </c>
      <c r="B78" s="5" t="s">
        <v>152</v>
      </c>
      <c r="C78" s="5" t="s">
        <v>132</v>
      </c>
      <c r="D78" s="5" t="s">
        <v>151</v>
      </c>
      <c r="E78" s="5" t="s">
        <v>153</v>
      </c>
      <c r="F78" s="5" t="s">
        <v>216</v>
      </c>
      <c r="G78" s="5" t="s">
        <v>217</v>
      </c>
      <c r="H78" s="5" t="s">
        <v>219</v>
      </c>
      <c r="I78" s="8" t="s">
        <v>199</v>
      </c>
      <c r="J78" s="6" t="s">
        <v>230</v>
      </c>
      <c r="K78" s="6" t="s">
        <v>247</v>
      </c>
      <c r="L78" s="2">
        <v>20</v>
      </c>
      <c r="M78" s="2">
        <v>11</v>
      </c>
      <c r="N78" s="2" t="s">
        <v>238</v>
      </c>
      <c r="O78" s="40">
        <v>18</v>
      </c>
      <c r="P78" s="43">
        <f t="shared" si="2"/>
        <v>198</v>
      </c>
    </row>
    <row r="79" spans="1:16" ht="70" customHeight="1" x14ac:dyDescent="0.35">
      <c r="A79" t="s">
        <v>11</v>
      </c>
      <c r="B79" s="5" t="s">
        <v>154</v>
      </c>
      <c r="C79" s="5" t="s">
        <v>132</v>
      </c>
      <c r="D79" s="5" t="s">
        <v>151</v>
      </c>
      <c r="E79" s="5" t="s">
        <v>41</v>
      </c>
      <c r="F79" s="5" t="s">
        <v>216</v>
      </c>
      <c r="G79" s="5" t="s">
        <v>217</v>
      </c>
      <c r="H79" s="5" t="s">
        <v>219</v>
      </c>
      <c r="I79" s="8" t="s">
        <v>199</v>
      </c>
      <c r="J79" s="6" t="s">
        <v>230</v>
      </c>
      <c r="K79" s="6" t="s">
        <v>247</v>
      </c>
      <c r="L79" s="2">
        <v>20</v>
      </c>
      <c r="M79" s="2">
        <v>11</v>
      </c>
      <c r="N79" s="2" t="s">
        <v>237</v>
      </c>
      <c r="O79" s="40">
        <v>12</v>
      </c>
      <c r="P79" s="43">
        <f t="shared" si="2"/>
        <v>132</v>
      </c>
    </row>
    <row r="80" spans="1:16" ht="70" customHeight="1" x14ac:dyDescent="0.35">
      <c r="A80" t="s">
        <v>11</v>
      </c>
      <c r="B80" s="5" t="s">
        <v>155</v>
      </c>
      <c r="C80" s="5" t="s">
        <v>132</v>
      </c>
      <c r="D80" s="5" t="s">
        <v>156</v>
      </c>
      <c r="E80" s="5" t="s">
        <v>15</v>
      </c>
      <c r="F80" s="5" t="s">
        <v>216</v>
      </c>
      <c r="G80" s="5" t="s">
        <v>222</v>
      </c>
      <c r="H80" s="5" t="s">
        <v>223</v>
      </c>
      <c r="I80" s="8" t="s">
        <v>199</v>
      </c>
      <c r="J80" s="6" t="s">
        <v>230</v>
      </c>
      <c r="K80" s="6" t="s">
        <v>247</v>
      </c>
      <c r="L80" s="2">
        <v>38</v>
      </c>
      <c r="M80" s="2">
        <v>20.900000000000002</v>
      </c>
      <c r="N80" s="2" t="s">
        <v>240</v>
      </c>
      <c r="O80" s="40">
        <v>12</v>
      </c>
      <c r="P80" s="43">
        <f t="shared" si="2"/>
        <v>250.8</v>
      </c>
    </row>
    <row r="81" spans="1:16" ht="70" customHeight="1" x14ac:dyDescent="0.35">
      <c r="A81" t="s">
        <v>11</v>
      </c>
      <c r="B81" s="5" t="s">
        <v>157</v>
      </c>
      <c r="C81" s="5" t="s">
        <v>132</v>
      </c>
      <c r="D81" s="5" t="s">
        <v>156</v>
      </c>
      <c r="E81" s="5" t="s">
        <v>158</v>
      </c>
      <c r="F81" s="5" t="s">
        <v>216</v>
      </c>
      <c r="G81" s="5" t="s">
        <v>222</v>
      </c>
      <c r="H81" s="5" t="s">
        <v>223</v>
      </c>
      <c r="I81" s="6"/>
      <c r="J81" s="6" t="s">
        <v>230</v>
      </c>
      <c r="K81" s="6" t="s">
        <v>248</v>
      </c>
      <c r="L81" s="2">
        <v>38</v>
      </c>
      <c r="M81" s="2">
        <v>20.900000000000002</v>
      </c>
      <c r="N81" s="2" t="s">
        <v>240</v>
      </c>
      <c r="O81" s="40">
        <v>12</v>
      </c>
      <c r="P81" s="43">
        <f t="shared" si="2"/>
        <v>250.8</v>
      </c>
    </row>
    <row r="82" spans="1:16" ht="70" customHeight="1" x14ac:dyDescent="0.35">
      <c r="A82" t="s">
        <v>11</v>
      </c>
      <c r="B82" s="5" t="s">
        <v>159</v>
      </c>
      <c r="C82" s="5" t="s">
        <v>132</v>
      </c>
      <c r="D82" s="5" t="s">
        <v>156</v>
      </c>
      <c r="E82" s="5" t="s">
        <v>148</v>
      </c>
      <c r="F82" s="5" t="s">
        <v>216</v>
      </c>
      <c r="G82" s="5" t="s">
        <v>222</v>
      </c>
      <c r="H82" s="5" t="s">
        <v>223</v>
      </c>
      <c r="I82" s="8" t="s">
        <v>199</v>
      </c>
      <c r="J82" s="6" t="s">
        <v>234</v>
      </c>
      <c r="K82" s="6" t="s">
        <v>248</v>
      </c>
      <c r="L82" s="2">
        <v>38</v>
      </c>
      <c r="M82" s="2">
        <v>20.900000000000002</v>
      </c>
      <c r="N82" s="2" t="s">
        <v>237</v>
      </c>
      <c r="O82" s="40">
        <v>12</v>
      </c>
      <c r="P82" s="43">
        <f t="shared" si="2"/>
        <v>250.8</v>
      </c>
    </row>
    <row r="83" spans="1:16" ht="70" customHeight="1" x14ac:dyDescent="0.35">
      <c r="A83" t="s">
        <v>11</v>
      </c>
      <c r="B83" s="5" t="s">
        <v>160</v>
      </c>
      <c r="C83" s="5" t="s">
        <v>132</v>
      </c>
      <c r="D83" s="5" t="s">
        <v>161</v>
      </c>
      <c r="E83" s="5" t="s">
        <v>15</v>
      </c>
      <c r="F83" s="5" t="s">
        <v>216</v>
      </c>
      <c r="G83" s="5" t="s">
        <v>220</v>
      </c>
      <c r="H83" s="5" t="s">
        <v>221</v>
      </c>
      <c r="I83" s="8" t="s">
        <v>199</v>
      </c>
      <c r="J83" s="6" t="s">
        <v>232</v>
      </c>
      <c r="K83" s="6" t="s">
        <v>247</v>
      </c>
      <c r="L83" s="2">
        <v>38</v>
      </c>
      <c r="M83" s="2">
        <v>20.900000000000002</v>
      </c>
      <c r="N83" s="39" t="s">
        <v>241</v>
      </c>
      <c r="O83" s="40">
        <v>18</v>
      </c>
      <c r="P83" s="43">
        <f t="shared" si="2"/>
        <v>376.20000000000005</v>
      </c>
    </row>
    <row r="84" spans="1:16" ht="70" customHeight="1" x14ac:dyDescent="0.35">
      <c r="A84" t="s">
        <v>11</v>
      </c>
      <c r="B84" s="5" t="s">
        <v>162</v>
      </c>
      <c r="C84" s="5" t="s">
        <v>132</v>
      </c>
      <c r="D84" s="5" t="s">
        <v>161</v>
      </c>
      <c r="E84" s="5" t="s">
        <v>163</v>
      </c>
      <c r="F84" s="5" t="s">
        <v>216</v>
      </c>
      <c r="G84" s="5" t="s">
        <v>220</v>
      </c>
      <c r="H84" s="5" t="s">
        <v>221</v>
      </c>
      <c r="I84" s="6"/>
      <c r="J84" s="6"/>
      <c r="K84" s="6" t="s">
        <v>248</v>
      </c>
      <c r="L84" s="2">
        <v>38</v>
      </c>
      <c r="M84" s="2">
        <v>20.900000000000002</v>
      </c>
      <c r="N84" s="39" t="s">
        <v>241</v>
      </c>
      <c r="O84" s="40">
        <v>12</v>
      </c>
      <c r="P84" s="43">
        <f t="shared" si="2"/>
        <v>250.8</v>
      </c>
    </row>
    <row r="85" spans="1:16" ht="70" customHeight="1" x14ac:dyDescent="0.35">
      <c r="A85" t="s">
        <v>11</v>
      </c>
      <c r="B85" s="5" t="s">
        <v>164</v>
      </c>
      <c r="C85" s="5" t="s">
        <v>132</v>
      </c>
      <c r="D85" s="5" t="s">
        <v>161</v>
      </c>
      <c r="E85" s="5" t="s">
        <v>165</v>
      </c>
      <c r="F85" s="5" t="s">
        <v>216</v>
      </c>
      <c r="G85" s="5" t="s">
        <v>220</v>
      </c>
      <c r="H85" s="5" t="s">
        <v>221</v>
      </c>
      <c r="I85" s="8" t="s">
        <v>199</v>
      </c>
      <c r="J85" s="6"/>
      <c r="K85" s="6" t="s">
        <v>247</v>
      </c>
      <c r="L85" s="2">
        <v>38</v>
      </c>
      <c r="M85" s="2">
        <v>20.900000000000002</v>
      </c>
      <c r="N85" s="39" t="s">
        <v>241</v>
      </c>
      <c r="O85" s="40">
        <v>12</v>
      </c>
      <c r="P85" s="43">
        <f t="shared" si="2"/>
        <v>250.8</v>
      </c>
    </row>
    <row r="86" spans="1:16" ht="70" customHeight="1" x14ac:dyDescent="0.35">
      <c r="A86" t="s">
        <v>11</v>
      </c>
      <c r="B86" s="26" t="s">
        <v>166</v>
      </c>
      <c r="C86" s="5" t="s">
        <v>132</v>
      </c>
      <c r="D86" s="26" t="s">
        <v>167</v>
      </c>
      <c r="E86" s="5" t="s">
        <v>146</v>
      </c>
      <c r="F86" s="5" t="s">
        <v>216</v>
      </c>
      <c r="G86" s="5" t="s">
        <v>220</v>
      </c>
      <c r="H86" s="5" t="s">
        <v>224</v>
      </c>
      <c r="I86" s="6"/>
      <c r="J86" s="6" t="s">
        <v>230</v>
      </c>
      <c r="K86" s="6" t="s">
        <v>248</v>
      </c>
      <c r="L86" s="2">
        <v>44</v>
      </c>
      <c r="M86" s="2">
        <v>24.200000000000003</v>
      </c>
      <c r="N86" s="2" t="s">
        <v>253</v>
      </c>
      <c r="O86" s="40">
        <v>8</v>
      </c>
      <c r="P86" s="43">
        <f t="shared" si="2"/>
        <v>193.60000000000002</v>
      </c>
    </row>
    <row r="87" spans="1:16" ht="70" customHeight="1" x14ac:dyDescent="0.35">
      <c r="A87" t="s">
        <v>11</v>
      </c>
      <c r="B87" s="26" t="s">
        <v>168</v>
      </c>
      <c r="C87" s="5" t="s">
        <v>132</v>
      </c>
      <c r="D87" s="26" t="s">
        <v>167</v>
      </c>
      <c r="E87" s="5" t="s">
        <v>169</v>
      </c>
      <c r="F87" s="5" t="s">
        <v>216</v>
      </c>
      <c r="G87" s="5" t="s">
        <v>220</v>
      </c>
      <c r="H87" s="5" t="s">
        <v>224</v>
      </c>
      <c r="I87" s="6"/>
      <c r="J87" s="6" t="s">
        <v>230</v>
      </c>
      <c r="K87" s="6" t="s">
        <v>248</v>
      </c>
      <c r="L87" s="2">
        <v>44</v>
      </c>
      <c r="M87" s="2">
        <v>24.200000000000003</v>
      </c>
      <c r="N87" s="2" t="s">
        <v>254</v>
      </c>
      <c r="O87" s="40">
        <v>8</v>
      </c>
      <c r="P87" s="43">
        <f t="shared" si="2"/>
        <v>193.60000000000002</v>
      </c>
    </row>
    <row r="88" spans="1:16" ht="70" customHeight="1" x14ac:dyDescent="0.35">
      <c r="A88" t="s">
        <v>11</v>
      </c>
      <c r="B88" s="5" t="s">
        <v>170</v>
      </c>
      <c r="C88" s="5" t="s">
        <v>132</v>
      </c>
      <c r="D88" s="5" t="s">
        <v>171</v>
      </c>
      <c r="E88" s="5" t="s">
        <v>15</v>
      </c>
      <c r="F88" s="5" t="s">
        <v>216</v>
      </c>
      <c r="G88" s="5" t="s">
        <v>225</v>
      </c>
      <c r="H88" s="5" t="s">
        <v>226</v>
      </c>
      <c r="I88" s="8" t="s">
        <v>199</v>
      </c>
      <c r="J88" s="6" t="s">
        <v>230</v>
      </c>
      <c r="K88" s="6" t="s">
        <v>247</v>
      </c>
      <c r="L88" s="2">
        <v>48</v>
      </c>
      <c r="M88" s="2">
        <v>26.400000000000002</v>
      </c>
      <c r="N88" s="2" t="s">
        <v>240</v>
      </c>
      <c r="O88" s="40">
        <v>16</v>
      </c>
      <c r="P88" s="43">
        <f t="shared" si="2"/>
        <v>422.40000000000003</v>
      </c>
    </row>
    <row r="89" spans="1:16" ht="70" customHeight="1" x14ac:dyDescent="0.35">
      <c r="A89" t="s">
        <v>11</v>
      </c>
      <c r="B89" s="5" t="s">
        <v>172</v>
      </c>
      <c r="C89" s="5" t="s">
        <v>132</v>
      </c>
      <c r="D89" s="5" t="s">
        <v>173</v>
      </c>
      <c r="E89" s="5" t="s">
        <v>136</v>
      </c>
      <c r="F89" s="5" t="s">
        <v>216</v>
      </c>
      <c r="G89" s="5" t="s">
        <v>217</v>
      </c>
      <c r="H89" s="5" t="s">
        <v>227</v>
      </c>
      <c r="I89" s="6"/>
      <c r="J89" s="6" t="s">
        <v>230</v>
      </c>
      <c r="K89" s="6" t="s">
        <v>247</v>
      </c>
      <c r="L89" s="2">
        <v>40</v>
      </c>
      <c r="M89" s="2">
        <v>22</v>
      </c>
      <c r="N89" s="2" t="s">
        <v>238</v>
      </c>
      <c r="O89" s="40">
        <v>24</v>
      </c>
      <c r="P89" s="43">
        <f t="shared" si="2"/>
        <v>528</v>
      </c>
    </row>
    <row r="90" spans="1:16" ht="70" customHeight="1" x14ac:dyDescent="0.35">
      <c r="A90" t="s">
        <v>11</v>
      </c>
      <c r="B90" s="5" t="s">
        <v>174</v>
      </c>
      <c r="C90" s="5" t="s">
        <v>132</v>
      </c>
      <c r="D90" s="5" t="s">
        <v>173</v>
      </c>
      <c r="E90" s="5" t="s">
        <v>138</v>
      </c>
      <c r="F90" s="5" t="s">
        <v>216</v>
      </c>
      <c r="G90" s="5" t="s">
        <v>217</v>
      </c>
      <c r="H90" s="5" t="s">
        <v>227</v>
      </c>
      <c r="I90" s="8" t="s">
        <v>199</v>
      </c>
      <c r="J90" s="6" t="s">
        <v>230</v>
      </c>
      <c r="K90" s="6" t="s">
        <v>247</v>
      </c>
      <c r="L90" s="2">
        <v>40</v>
      </c>
      <c r="M90" s="2">
        <v>22</v>
      </c>
      <c r="N90" s="2" t="s">
        <v>238</v>
      </c>
      <c r="O90" s="40">
        <v>18</v>
      </c>
      <c r="P90" s="43">
        <f t="shared" si="2"/>
        <v>396</v>
      </c>
    </row>
    <row r="91" spans="1:16" ht="70" customHeight="1" x14ac:dyDescent="0.35">
      <c r="A91" t="s">
        <v>11</v>
      </c>
      <c r="B91" s="5" t="s">
        <v>175</v>
      </c>
      <c r="C91" s="5" t="s">
        <v>132</v>
      </c>
      <c r="D91" s="5" t="s">
        <v>173</v>
      </c>
      <c r="E91" s="5" t="s">
        <v>176</v>
      </c>
      <c r="F91" s="5" t="s">
        <v>216</v>
      </c>
      <c r="G91" s="5" t="s">
        <v>217</v>
      </c>
      <c r="H91" s="5" t="s">
        <v>227</v>
      </c>
      <c r="I91" s="8" t="s">
        <v>199</v>
      </c>
      <c r="J91" s="6"/>
      <c r="K91" s="6" t="s">
        <v>248</v>
      </c>
      <c r="L91" s="2">
        <v>40</v>
      </c>
      <c r="M91" s="2">
        <v>22</v>
      </c>
      <c r="N91" s="2" t="s">
        <v>238</v>
      </c>
      <c r="O91" s="40">
        <v>18</v>
      </c>
      <c r="P91" s="43">
        <f t="shared" si="2"/>
        <v>396</v>
      </c>
    </row>
    <row r="92" spans="1:16" ht="70" customHeight="1" x14ac:dyDescent="0.35">
      <c r="A92" t="s">
        <v>11</v>
      </c>
      <c r="B92" s="5" t="s">
        <v>177</v>
      </c>
      <c r="C92" s="5" t="s">
        <v>132</v>
      </c>
      <c r="D92" s="5" t="s">
        <v>178</v>
      </c>
      <c r="E92" s="5" t="s">
        <v>15</v>
      </c>
      <c r="F92" s="5" t="s">
        <v>216</v>
      </c>
      <c r="G92" s="5" t="s">
        <v>217</v>
      </c>
      <c r="H92" s="5" t="s">
        <v>219</v>
      </c>
      <c r="I92" s="8" t="s">
        <v>199</v>
      </c>
      <c r="J92" s="6" t="s">
        <v>230</v>
      </c>
      <c r="K92" s="6" t="s">
        <v>247</v>
      </c>
      <c r="L92" s="2">
        <v>24</v>
      </c>
      <c r="M92" s="2">
        <v>13.200000000000001</v>
      </c>
      <c r="N92" s="2" t="s">
        <v>240</v>
      </c>
      <c r="O92" s="40">
        <v>12</v>
      </c>
      <c r="P92" s="43">
        <f t="shared" si="2"/>
        <v>158.4</v>
      </c>
    </row>
    <row r="93" spans="1:16" ht="70" customHeight="1" x14ac:dyDescent="0.35">
      <c r="A93" t="s">
        <v>11</v>
      </c>
      <c r="B93" s="5" t="s">
        <v>179</v>
      </c>
      <c r="C93" s="5" t="s">
        <v>132</v>
      </c>
      <c r="D93" s="5" t="s">
        <v>178</v>
      </c>
      <c r="E93" s="5" t="s">
        <v>180</v>
      </c>
      <c r="F93" s="5" t="s">
        <v>216</v>
      </c>
      <c r="G93" s="5" t="s">
        <v>217</v>
      </c>
      <c r="H93" s="5" t="s">
        <v>219</v>
      </c>
      <c r="I93" s="8" t="s">
        <v>199</v>
      </c>
      <c r="J93" s="6" t="s">
        <v>230</v>
      </c>
      <c r="K93" s="6" t="s">
        <v>248</v>
      </c>
      <c r="L93" s="2">
        <v>24</v>
      </c>
      <c r="M93" s="2">
        <v>13.200000000000001</v>
      </c>
      <c r="N93" s="2" t="s">
        <v>237</v>
      </c>
      <c r="O93" s="40">
        <v>12</v>
      </c>
      <c r="P93" s="43">
        <f t="shared" si="2"/>
        <v>158.4</v>
      </c>
    </row>
    <row r="94" spans="1:16" ht="70" customHeight="1" x14ac:dyDescent="0.35">
      <c r="A94" t="s">
        <v>11</v>
      </c>
      <c r="B94" s="5" t="s">
        <v>181</v>
      </c>
      <c r="C94" s="5" t="s">
        <v>132</v>
      </c>
      <c r="D94" s="5" t="s">
        <v>178</v>
      </c>
      <c r="E94" s="5" t="s">
        <v>41</v>
      </c>
      <c r="F94" s="5" t="s">
        <v>216</v>
      </c>
      <c r="G94" s="5" t="s">
        <v>217</v>
      </c>
      <c r="H94" s="5" t="s">
        <v>219</v>
      </c>
      <c r="I94" s="6"/>
      <c r="J94" s="6" t="s">
        <v>230</v>
      </c>
      <c r="K94" s="6" t="s">
        <v>247</v>
      </c>
      <c r="L94" s="2">
        <v>24</v>
      </c>
      <c r="M94" s="2">
        <v>13.200000000000001</v>
      </c>
      <c r="N94" s="2" t="s">
        <v>237</v>
      </c>
      <c r="O94" s="40">
        <v>12</v>
      </c>
      <c r="P94" s="43">
        <f t="shared" si="2"/>
        <v>158.4</v>
      </c>
    </row>
    <row r="95" spans="1:16" ht="70" customHeight="1" x14ac:dyDescent="0.35">
      <c r="A95" t="s">
        <v>11</v>
      </c>
      <c r="B95" s="5" t="s">
        <v>182</v>
      </c>
      <c r="C95" s="5" t="s">
        <v>132</v>
      </c>
      <c r="D95" s="5" t="s">
        <v>183</v>
      </c>
      <c r="E95" s="5" t="s">
        <v>184</v>
      </c>
      <c r="F95" s="5" t="s">
        <v>216</v>
      </c>
      <c r="G95" s="5" t="s">
        <v>220</v>
      </c>
      <c r="H95" s="5" t="s">
        <v>221</v>
      </c>
      <c r="I95" s="6"/>
      <c r="J95" s="6" t="s">
        <v>11</v>
      </c>
      <c r="K95" s="6" t="s">
        <v>249</v>
      </c>
      <c r="L95" s="2">
        <v>40</v>
      </c>
      <c r="M95" s="2">
        <v>22</v>
      </c>
      <c r="N95" s="39" t="s">
        <v>241</v>
      </c>
      <c r="O95" s="40">
        <v>12</v>
      </c>
      <c r="P95" s="43">
        <f t="shared" si="2"/>
        <v>264</v>
      </c>
    </row>
    <row r="96" spans="1:16" ht="70" customHeight="1" x14ac:dyDescent="0.35">
      <c r="A96" t="s">
        <v>11</v>
      </c>
      <c r="B96" s="5" t="s">
        <v>185</v>
      </c>
      <c r="C96" s="5" t="s">
        <v>132</v>
      </c>
      <c r="D96" s="5" t="s">
        <v>186</v>
      </c>
      <c r="E96" s="5" t="s">
        <v>165</v>
      </c>
      <c r="F96" s="5" t="s">
        <v>216</v>
      </c>
      <c r="G96" s="5" t="s">
        <v>217</v>
      </c>
      <c r="H96" s="5" t="s">
        <v>219</v>
      </c>
      <c r="I96" s="8" t="s">
        <v>199</v>
      </c>
      <c r="J96" s="6" t="s">
        <v>232</v>
      </c>
      <c r="K96" s="6" t="s">
        <v>248</v>
      </c>
      <c r="L96" s="2">
        <v>20</v>
      </c>
      <c r="M96" s="2">
        <v>11</v>
      </c>
      <c r="N96" s="2" t="s">
        <v>238</v>
      </c>
      <c r="O96" s="40">
        <v>16</v>
      </c>
      <c r="P96" s="43">
        <f t="shared" si="2"/>
        <v>176</v>
      </c>
    </row>
    <row r="97" spans="1:16" ht="70" customHeight="1" x14ac:dyDescent="0.35">
      <c r="A97" t="s">
        <v>11</v>
      </c>
      <c r="B97" s="5" t="s">
        <v>187</v>
      </c>
      <c r="C97" s="5" t="s">
        <v>132</v>
      </c>
      <c r="D97" s="5" t="s">
        <v>186</v>
      </c>
      <c r="E97" s="5" t="s">
        <v>15</v>
      </c>
      <c r="F97" s="5" t="s">
        <v>216</v>
      </c>
      <c r="G97" s="5" t="s">
        <v>217</v>
      </c>
      <c r="H97" s="5" t="s">
        <v>219</v>
      </c>
      <c r="I97" s="8" t="s">
        <v>199</v>
      </c>
      <c r="J97" s="6" t="s">
        <v>232</v>
      </c>
      <c r="K97" s="6" t="s">
        <v>247</v>
      </c>
      <c r="L97" s="2">
        <v>20</v>
      </c>
      <c r="M97" s="2">
        <v>11</v>
      </c>
      <c r="N97" s="2" t="s">
        <v>238</v>
      </c>
      <c r="O97" s="40">
        <v>18</v>
      </c>
      <c r="P97" s="43">
        <f t="shared" si="2"/>
        <v>198</v>
      </c>
    </row>
    <row r="98" spans="1:16" ht="70" customHeight="1" x14ac:dyDescent="0.35">
      <c r="A98" t="s">
        <v>11</v>
      </c>
      <c r="B98" s="5" t="s">
        <v>189</v>
      </c>
      <c r="C98" s="5" t="s">
        <v>132</v>
      </c>
      <c r="D98" s="5" t="s">
        <v>190</v>
      </c>
      <c r="E98" s="5" t="s">
        <v>32</v>
      </c>
      <c r="F98" s="5" t="s">
        <v>216</v>
      </c>
      <c r="G98" s="5" t="s">
        <v>222</v>
      </c>
      <c r="H98" s="5" t="s">
        <v>228</v>
      </c>
      <c r="I98" s="6"/>
      <c r="J98" s="6" t="s">
        <v>232</v>
      </c>
      <c r="K98" s="6" t="s">
        <v>248</v>
      </c>
      <c r="L98" s="2">
        <v>220</v>
      </c>
      <c r="M98" s="2">
        <v>121.00000000000001</v>
      </c>
      <c r="N98" s="2" t="s">
        <v>240</v>
      </c>
      <c r="O98" s="40">
        <v>12</v>
      </c>
      <c r="P98" s="43">
        <f t="shared" si="2"/>
        <v>1452.0000000000002</v>
      </c>
    </row>
    <row r="99" spans="1:16" ht="70" customHeight="1" x14ac:dyDescent="0.35">
      <c r="A99" t="s">
        <v>11</v>
      </c>
      <c r="B99" s="5" t="s">
        <v>191</v>
      </c>
      <c r="C99" s="5" t="s">
        <v>132</v>
      </c>
      <c r="D99" s="5" t="s">
        <v>192</v>
      </c>
      <c r="E99" s="5" t="s">
        <v>41</v>
      </c>
      <c r="F99" s="5" t="s">
        <v>216</v>
      </c>
      <c r="G99" s="5" t="s">
        <v>222</v>
      </c>
      <c r="H99" s="5" t="s">
        <v>228</v>
      </c>
      <c r="I99" s="6"/>
      <c r="J99" s="6"/>
      <c r="K99" s="6" t="s">
        <v>249</v>
      </c>
      <c r="L99" s="2">
        <v>170</v>
      </c>
      <c r="M99" s="2">
        <v>93.500000000000014</v>
      </c>
      <c r="N99" s="2"/>
      <c r="O99" s="40"/>
      <c r="P99" s="43">
        <f t="shared" si="2"/>
        <v>0</v>
      </c>
    </row>
    <row r="100" spans="1:16" ht="70" customHeight="1" x14ac:dyDescent="0.35">
      <c r="A100" t="s">
        <v>11</v>
      </c>
      <c r="B100" s="5" t="s">
        <v>193</v>
      </c>
      <c r="C100" s="5" t="s">
        <v>132</v>
      </c>
      <c r="D100" s="5" t="s">
        <v>144</v>
      </c>
      <c r="E100" s="5" t="s">
        <v>194</v>
      </c>
      <c r="F100" s="5" t="s">
        <v>216</v>
      </c>
      <c r="G100" s="5" t="s">
        <v>220</v>
      </c>
      <c r="H100" s="5" t="s">
        <v>221</v>
      </c>
      <c r="I100" s="6"/>
      <c r="J100" s="6"/>
      <c r="K100" s="6" t="s">
        <v>248</v>
      </c>
      <c r="L100" s="2">
        <v>34</v>
      </c>
      <c r="M100" s="2">
        <v>18.700000000000003</v>
      </c>
      <c r="N100" s="39" t="s">
        <v>241</v>
      </c>
      <c r="O100" s="40">
        <v>12</v>
      </c>
      <c r="P100" s="43">
        <f t="shared" ref="P100:P131" si="3">M100*O100</f>
        <v>224.40000000000003</v>
      </c>
    </row>
    <row r="101" spans="1:16" ht="70" customHeight="1" x14ac:dyDescent="0.35">
      <c r="A101" t="s">
        <v>11</v>
      </c>
      <c r="B101" s="5" t="s">
        <v>195</v>
      </c>
      <c r="C101" s="5" t="s">
        <v>132</v>
      </c>
      <c r="D101" s="5" t="s">
        <v>144</v>
      </c>
      <c r="E101" s="5" t="s">
        <v>158</v>
      </c>
      <c r="F101" s="5" t="s">
        <v>216</v>
      </c>
      <c r="G101" s="5" t="s">
        <v>220</v>
      </c>
      <c r="H101" s="5" t="s">
        <v>221</v>
      </c>
      <c r="I101" s="6"/>
      <c r="J101" s="6"/>
      <c r="K101" s="6" t="s">
        <v>248</v>
      </c>
      <c r="L101" s="2">
        <v>34</v>
      </c>
      <c r="M101" s="2">
        <v>18.700000000000003</v>
      </c>
      <c r="N101" s="39" t="s">
        <v>241</v>
      </c>
      <c r="O101" s="40">
        <v>12</v>
      </c>
      <c r="P101" s="43">
        <f t="shared" si="3"/>
        <v>224.40000000000003</v>
      </c>
    </row>
    <row r="102" spans="1:16" ht="70" customHeight="1" x14ac:dyDescent="0.35">
      <c r="A102" t="s">
        <v>11</v>
      </c>
      <c r="B102" s="5" t="s">
        <v>196</v>
      </c>
      <c r="C102" s="5" t="s">
        <v>132</v>
      </c>
      <c r="D102" s="5" t="s">
        <v>197</v>
      </c>
      <c r="E102" s="5" t="s">
        <v>198</v>
      </c>
      <c r="F102" s="5" t="s">
        <v>216</v>
      </c>
      <c r="G102" s="5" t="s">
        <v>225</v>
      </c>
      <c r="H102" s="5" t="s">
        <v>229</v>
      </c>
      <c r="I102" s="6"/>
      <c r="J102" s="6"/>
      <c r="K102" s="6" t="s">
        <v>247</v>
      </c>
      <c r="L102" s="2">
        <v>24</v>
      </c>
      <c r="M102" s="2">
        <v>13.200000000000001</v>
      </c>
      <c r="N102" s="39" t="s">
        <v>241</v>
      </c>
      <c r="O102" s="40">
        <v>24</v>
      </c>
      <c r="P102" s="43">
        <f t="shared" si="3"/>
        <v>316.8</v>
      </c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7"/>
      <c r="L103" s="3"/>
      <c r="M103" s="7"/>
      <c r="N103" s="7"/>
      <c r="O103" s="7"/>
    </row>
  </sheetData>
  <autoFilter ref="A3:P3" xr:uid="{697A3F4E-A292-4B0B-90BA-4226E124FB95}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942EDA6-2FA6-48C6-ADAA-5D1DEDAC8FC7}">
          <x14:formula1>
            <xm:f>'Size Pack'!$B$5:$B$6</xm:f>
          </x14:formula1>
          <xm:sqref>N4:N68</xm:sqref>
        </x14:dataValidation>
        <x14:dataValidation type="list" allowBlank="1" showInputMessage="1" showErrorMessage="1" xr:uid="{B8C2AD94-BDD3-4345-9EB3-4C759C191424}">
          <x14:formula1>
            <xm:f>'Size Pack'!$B$16:$B$18</xm:f>
          </x14:formula1>
          <xm:sqref>N69:N72 N77:N82 N89:N94 N96:N99</xm:sqref>
        </x14:dataValidation>
        <x14:dataValidation type="list" allowBlank="1" showInputMessage="1" showErrorMessage="1" xr:uid="{57E502E3-4013-41EF-98BE-410422F833B8}">
          <x14:formula1>
            <xm:f>'Size Pack'!$F$21:$G$21</xm:f>
          </x14:formula1>
          <xm:sqref>N86:N87</xm:sqref>
        </x14:dataValidation>
        <x14:dataValidation type="list" allowBlank="1" showInputMessage="1" showErrorMessage="1" xr:uid="{7F507116-3065-423E-8616-9F480C73E391}">
          <x14:formula1>
            <xm:f>'Size Pack'!$B$18</xm:f>
          </x14:formula1>
          <xm:sqref>N88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55C0-46E1-4974-92BB-0C4701135F35}">
  <dimension ref="B2:H24"/>
  <sheetViews>
    <sheetView topLeftCell="A12" workbookViewId="0">
      <selection activeCell="D26" sqref="D26"/>
    </sheetView>
  </sheetViews>
  <sheetFormatPr baseColWidth="10" defaultColWidth="11.453125" defaultRowHeight="13" x14ac:dyDescent="0.3"/>
  <cols>
    <col min="1" max="4" width="11.453125" style="9"/>
    <col min="5" max="5" width="11.1796875" style="9" customWidth="1"/>
    <col min="6" max="6" width="11.453125" style="9" customWidth="1"/>
    <col min="7" max="16384" width="11.453125" style="9"/>
  </cols>
  <sheetData>
    <row r="2" spans="2:8" ht="16" x14ac:dyDescent="0.4">
      <c r="B2" s="44" t="s">
        <v>235</v>
      </c>
      <c r="C2" s="44"/>
      <c r="D2" s="44"/>
    </row>
    <row r="4" spans="2:8" ht="14.5" x14ac:dyDescent="0.3">
      <c r="B4" s="28" t="s">
        <v>236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10</v>
      </c>
    </row>
    <row r="5" spans="2:8" ht="14.5" x14ac:dyDescent="0.3">
      <c r="B5" s="11" t="s">
        <v>237</v>
      </c>
      <c r="C5" s="12">
        <v>2</v>
      </c>
      <c r="D5" s="12">
        <v>3</v>
      </c>
      <c r="E5" s="12">
        <v>2</v>
      </c>
      <c r="F5" s="12">
        <v>1</v>
      </c>
      <c r="G5" s="12">
        <v>8</v>
      </c>
    </row>
    <row r="6" spans="2:8" ht="14.5" x14ac:dyDescent="0.35">
      <c r="B6" s="13" t="s">
        <v>238</v>
      </c>
      <c r="C6" s="14">
        <v>1</v>
      </c>
      <c r="D6" s="14">
        <v>3</v>
      </c>
      <c r="E6" s="14">
        <v>3</v>
      </c>
      <c r="F6" s="14">
        <v>1</v>
      </c>
      <c r="G6" s="14">
        <v>8</v>
      </c>
    </row>
    <row r="9" spans="2:8" ht="14.5" x14ac:dyDescent="0.3">
      <c r="B9" s="15" t="s">
        <v>239</v>
      </c>
      <c r="C9" s="15" t="s">
        <v>4</v>
      </c>
      <c r="D9" s="15" t="s">
        <v>5</v>
      </c>
      <c r="E9" s="15" t="s">
        <v>6</v>
      </c>
      <c r="F9" s="15" t="s">
        <v>7</v>
      </c>
      <c r="G9" s="15" t="s">
        <v>8</v>
      </c>
      <c r="H9" s="15" t="s">
        <v>10</v>
      </c>
    </row>
    <row r="10" spans="2:8" ht="14.5" x14ac:dyDescent="0.3">
      <c r="B10" s="11" t="s">
        <v>237</v>
      </c>
      <c r="C10" s="12">
        <v>1</v>
      </c>
      <c r="D10" s="12">
        <v>3</v>
      </c>
      <c r="E10" s="12">
        <v>3</v>
      </c>
      <c r="F10" s="12">
        <v>1</v>
      </c>
      <c r="G10" s="12"/>
      <c r="H10" s="14">
        <v>8</v>
      </c>
    </row>
    <row r="11" spans="2:8" ht="14.5" x14ac:dyDescent="0.35">
      <c r="B11" s="13" t="s">
        <v>238</v>
      </c>
      <c r="C11" s="14"/>
      <c r="D11" s="14">
        <v>1</v>
      </c>
      <c r="E11" s="14">
        <v>3</v>
      </c>
      <c r="F11" s="14">
        <v>3</v>
      </c>
      <c r="G11" s="14">
        <v>1</v>
      </c>
      <c r="H11" s="14">
        <v>8</v>
      </c>
    </row>
    <row r="12" spans="2:8" ht="14.5" x14ac:dyDescent="0.35">
      <c r="B12" s="16"/>
      <c r="C12" s="17"/>
      <c r="D12" s="17"/>
      <c r="E12" s="17"/>
      <c r="F12" s="17"/>
      <c r="G12" s="17"/>
    </row>
    <row r="14" spans="2:8" ht="15" customHeight="1" x14ac:dyDescent="0.3">
      <c r="B14" s="18" t="s">
        <v>256</v>
      </c>
      <c r="C14" s="19"/>
    </row>
    <row r="15" spans="2:8" ht="14.5" x14ac:dyDescent="0.3">
      <c r="B15" s="29"/>
      <c r="C15" s="29" t="s">
        <v>5</v>
      </c>
      <c r="D15" s="29" t="s">
        <v>6</v>
      </c>
      <c r="E15" s="29" t="s">
        <v>7</v>
      </c>
      <c r="F15" s="29" t="s">
        <v>8</v>
      </c>
      <c r="G15" s="29" t="s">
        <v>10</v>
      </c>
    </row>
    <row r="16" spans="2:8" ht="14.5" x14ac:dyDescent="0.3">
      <c r="B16" s="11" t="s">
        <v>237</v>
      </c>
      <c r="C16" s="12">
        <v>2</v>
      </c>
      <c r="D16" s="12">
        <v>2</v>
      </c>
      <c r="E16" s="12">
        <v>2</v>
      </c>
      <c r="F16" s="12"/>
      <c r="G16" s="14">
        <v>6</v>
      </c>
    </row>
    <row r="17" spans="2:7" ht="14.5" x14ac:dyDescent="0.3">
      <c r="B17" s="11" t="s">
        <v>238</v>
      </c>
      <c r="C17" s="12"/>
      <c r="D17" s="12">
        <v>2</v>
      </c>
      <c r="E17" s="12">
        <v>3</v>
      </c>
      <c r="F17" s="12">
        <v>1</v>
      </c>
      <c r="G17" s="14">
        <v>6</v>
      </c>
    </row>
    <row r="18" spans="2:7" ht="14.5" x14ac:dyDescent="0.3">
      <c r="B18" s="11" t="s">
        <v>240</v>
      </c>
      <c r="C18" s="12">
        <v>1</v>
      </c>
      <c r="D18" s="12">
        <v>2</v>
      </c>
      <c r="E18" s="12">
        <v>2</v>
      </c>
      <c r="F18" s="12">
        <v>1</v>
      </c>
      <c r="G18" s="14">
        <v>6</v>
      </c>
    </row>
    <row r="19" spans="2:7" ht="14.5" x14ac:dyDescent="0.3">
      <c r="B19" s="20"/>
      <c r="C19" s="21"/>
      <c r="D19" s="21"/>
      <c r="E19" s="21"/>
      <c r="F19" s="21"/>
      <c r="G19" s="17"/>
    </row>
    <row r="20" spans="2:7" x14ac:dyDescent="0.3">
      <c r="F20" s="38" t="s">
        <v>255</v>
      </c>
    </row>
    <row r="21" spans="2:7" ht="14.5" x14ac:dyDescent="0.3">
      <c r="B21" s="10" t="s">
        <v>241</v>
      </c>
      <c r="C21" s="10" t="s">
        <v>242</v>
      </c>
      <c r="E21" s="20"/>
      <c r="F21" s="10" t="s">
        <v>253</v>
      </c>
      <c r="G21" s="10" t="s">
        <v>254</v>
      </c>
    </row>
    <row r="22" spans="2:7" ht="14.5" x14ac:dyDescent="0.3">
      <c r="B22" s="11" t="s">
        <v>243</v>
      </c>
      <c r="C22" s="12">
        <v>6</v>
      </c>
      <c r="E22" s="20"/>
      <c r="F22" s="14">
        <v>4</v>
      </c>
      <c r="G22" s="14">
        <v>4</v>
      </c>
    </row>
    <row r="23" spans="2:7" ht="14.5" x14ac:dyDescent="0.3">
      <c r="B23" s="11" t="s">
        <v>244</v>
      </c>
      <c r="C23" s="12">
        <v>6</v>
      </c>
      <c r="E23" s="20"/>
      <c r="F23" s="37"/>
      <c r="G23" s="37"/>
    </row>
    <row r="24" spans="2:7" x14ac:dyDescent="0.3">
      <c r="B24" s="22" t="s">
        <v>245</v>
      </c>
      <c r="C24" s="14">
        <v>6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App &amp; Accs</vt:lpstr>
      <vt:lpstr>Size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Peraza</dc:creator>
  <cp:lastModifiedBy>Jorge Peraza</cp:lastModifiedBy>
  <dcterms:created xsi:type="dcterms:W3CDTF">2025-11-09T22:34:14Z</dcterms:created>
  <dcterms:modified xsi:type="dcterms:W3CDTF">2025-11-21T04:54:03Z</dcterms:modified>
</cp:coreProperties>
</file>