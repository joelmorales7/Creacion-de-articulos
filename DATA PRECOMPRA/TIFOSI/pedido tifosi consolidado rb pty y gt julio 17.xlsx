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CREACION DE ARTICULOS\DATA PRECOMPRA\TIFOSI\"/>
    </mc:Choice>
  </mc:AlternateContent>
  <xr:revisionPtr revIDLastSave="0" documentId="8_{3B9356BC-8B2A-43F5-AC61-699EF19A9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Order Form" sheetId="2" r:id="rId1"/>
  </sheets>
  <definedNames>
    <definedName name="_xlnm._FilterDatabase" localSheetId="0" hidden="1">'2026 Order Form'!$B$4:$L$216</definedName>
    <definedName name="_xlnm.Print_Area" localSheetId="0">'2026 Order Form'!$A$1:$L$216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2" l="1"/>
  <c r="L52" i="2"/>
  <c r="L53" i="2"/>
  <c r="L54" i="2"/>
  <c r="L189" i="2"/>
  <c r="L134" i="2"/>
  <c r="L135" i="2"/>
  <c r="L136" i="2"/>
  <c r="L137" i="2"/>
  <c r="L138" i="2"/>
  <c r="L139" i="2"/>
  <c r="L140" i="2"/>
  <c r="L141" i="2"/>
  <c r="L142" i="2"/>
  <c r="L143" i="2"/>
  <c r="L207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72" i="2"/>
  <c r="L71" i="2"/>
  <c r="L177" i="2"/>
  <c r="L77" i="2"/>
  <c r="L78" i="2"/>
  <c r="L79" i="2"/>
  <c r="L80" i="2"/>
  <c r="L81" i="2"/>
  <c r="L82" i="2"/>
  <c r="L83" i="2"/>
  <c r="L84" i="2"/>
  <c r="L184" i="2"/>
  <c r="L185" i="2"/>
  <c r="L186" i="2"/>
  <c r="L187" i="2"/>
  <c r="L188" i="2"/>
  <c r="L190" i="2"/>
  <c r="L191" i="2"/>
  <c r="L192" i="2"/>
  <c r="L46" i="2"/>
  <c r="L47" i="2"/>
  <c r="L50" i="2"/>
  <c r="L48" i="2"/>
  <c r="L49" i="2"/>
  <c r="L42" i="2"/>
  <c r="L43" i="2"/>
  <c r="L45" i="2"/>
  <c r="L44" i="2"/>
  <c r="L41" i="2"/>
  <c r="L60" i="2"/>
  <c r="L200" i="2"/>
  <c r="L209" i="2"/>
  <c r="L101" i="2"/>
  <c r="L62" i="2" l="1"/>
  <c r="L63" i="2"/>
  <c r="L64" i="2"/>
  <c r="L178" i="2"/>
  <c r="L115" i="2"/>
  <c r="L117" i="2"/>
  <c r="L116" i="2"/>
  <c r="L15" i="2" l="1"/>
  <c r="L17" i="2"/>
  <c r="L32" i="2"/>
  <c r="L33" i="2"/>
  <c r="L16" i="2"/>
  <c r="L18" i="2"/>
  <c r="K216" i="2" l="1"/>
  <c r="D2" i="2" s="1"/>
  <c r="L114" i="2" l="1"/>
  <c r="L113" i="2"/>
  <c r="L85" i="2"/>
  <c r="L89" i="2"/>
  <c r="L86" i="2"/>
  <c r="L90" i="2"/>
  <c r="L88" i="2"/>
  <c r="L87" i="2"/>
  <c r="L93" i="2" l="1"/>
  <c r="L94" i="2"/>
  <c r="L95" i="2"/>
  <c r="L96" i="2"/>
  <c r="L40" i="2" l="1"/>
  <c r="L34" i="2"/>
  <c r="L35" i="2"/>
  <c r="L36" i="2"/>
  <c r="L162" i="2" l="1"/>
  <c r="L163" i="2"/>
  <c r="L164" i="2"/>
  <c r="L158" i="2"/>
  <c r="L159" i="2"/>
  <c r="L160" i="2"/>
  <c r="L124" i="2"/>
  <c r="L125" i="2"/>
  <c r="L126" i="2"/>
  <c r="L97" i="2"/>
  <c r="L214" i="2" l="1"/>
  <c r="L213" i="2"/>
  <c r="L215" i="2"/>
  <c r="L212" i="2"/>
  <c r="L210" i="2"/>
  <c r="L211" i="2"/>
  <c r="L39" i="2" l="1"/>
  <c r="L38" i="2"/>
  <c r="L37" i="2"/>
  <c r="L5" i="2" l="1"/>
  <c r="L6" i="2"/>
  <c r="L7" i="2"/>
  <c r="L8" i="2"/>
  <c r="L9" i="2"/>
  <c r="L10" i="2"/>
  <c r="L11" i="2"/>
  <c r="L13" i="2"/>
  <c r="L12" i="2"/>
  <c r="L14" i="2"/>
  <c r="L55" i="2"/>
  <c r="L56" i="2"/>
  <c r="L57" i="2"/>
  <c r="L58" i="2"/>
  <c r="L59" i="2"/>
  <c r="L61" i="2"/>
  <c r="L65" i="2"/>
  <c r="L66" i="2"/>
  <c r="L67" i="2"/>
  <c r="L68" i="2"/>
  <c r="L69" i="2"/>
  <c r="L70" i="2"/>
  <c r="L74" i="2"/>
  <c r="L73" i="2"/>
  <c r="L75" i="2"/>
  <c r="L76" i="2"/>
  <c r="L91" i="2"/>
  <c r="L92" i="2"/>
  <c r="L98" i="2"/>
  <c r="L99" i="2"/>
  <c r="L100" i="2"/>
  <c r="L102" i="2"/>
  <c r="L103" i="2"/>
  <c r="L104" i="2"/>
  <c r="L105" i="2"/>
  <c r="L106" i="2"/>
  <c r="L107" i="2"/>
  <c r="L108" i="2"/>
  <c r="L109" i="2"/>
  <c r="L110" i="2"/>
  <c r="L111" i="2"/>
  <c r="L112" i="2"/>
  <c r="L118" i="2"/>
  <c r="L120" i="2"/>
  <c r="L119" i="2"/>
  <c r="L121" i="2"/>
  <c r="L122" i="2"/>
  <c r="L123" i="2"/>
  <c r="L127" i="2"/>
  <c r="L128" i="2"/>
  <c r="L130" i="2"/>
  <c r="L129" i="2"/>
  <c r="L131" i="2"/>
  <c r="L132" i="2"/>
  <c r="L133" i="2"/>
  <c r="L144" i="2"/>
  <c r="L145" i="2"/>
  <c r="L146" i="2"/>
  <c r="L147" i="2"/>
  <c r="L148" i="2"/>
  <c r="L149" i="2"/>
  <c r="L151" i="2"/>
  <c r="L150" i="2"/>
  <c r="L152" i="2"/>
  <c r="L153" i="2"/>
  <c r="L154" i="2"/>
  <c r="L155" i="2"/>
  <c r="L156" i="2"/>
  <c r="L157" i="2"/>
  <c r="L161" i="2"/>
  <c r="L165" i="2"/>
  <c r="L166" i="2"/>
  <c r="L167" i="2"/>
  <c r="L168" i="2"/>
  <c r="L169" i="2"/>
  <c r="L170" i="2"/>
  <c r="L171" i="2"/>
  <c r="L172" i="2"/>
  <c r="L173" i="2"/>
  <c r="L174" i="2"/>
  <c r="L175" i="2"/>
  <c r="L179" i="2"/>
  <c r="L180" i="2"/>
  <c r="L181" i="2"/>
  <c r="L182" i="2"/>
  <c r="L183" i="2"/>
  <c r="L193" i="2"/>
  <c r="L194" i="2"/>
  <c r="L195" i="2"/>
  <c r="L196" i="2"/>
  <c r="L199" i="2"/>
  <c r="L197" i="2"/>
  <c r="L198" i="2"/>
  <c r="L201" i="2"/>
  <c r="L202" i="2"/>
  <c r="L203" i="2"/>
  <c r="L204" i="2"/>
  <c r="L205" i="2"/>
  <c r="L206" i="2"/>
  <c r="L208" i="2"/>
  <c r="L216" i="2" l="1"/>
  <c r="D3" i="2" s="1"/>
</calcChain>
</file>

<file path=xl/sharedStrings.xml><?xml version="1.0" encoding="utf-8"?>
<sst xmlns="http://schemas.openxmlformats.org/spreadsheetml/2006/main" count="1556" uniqueCount="605">
  <si>
    <t>Smoke Polarized Fototec</t>
  </si>
  <si>
    <t>EU MSRP</t>
  </si>
  <si>
    <t>QTY</t>
  </si>
  <si>
    <t>Light Night Fototec</t>
  </si>
  <si>
    <t>LENSES</t>
  </si>
  <si>
    <t>Veloce, Matte Black</t>
  </si>
  <si>
    <t>Veloce, Gloss Black</t>
  </si>
  <si>
    <t>Veloce, Crystal Clear</t>
  </si>
  <si>
    <t>Crit, Matte Black</t>
  </si>
  <si>
    <t>Crit, Crystal Black</t>
  </si>
  <si>
    <t>Crit, Matte Gunmetal</t>
  </si>
  <si>
    <t>Brown</t>
  </si>
  <si>
    <t>Smoke</t>
  </si>
  <si>
    <t>Smoke Polarized</t>
  </si>
  <si>
    <t>Single Lens</t>
  </si>
  <si>
    <t>Optical</t>
  </si>
  <si>
    <t>Interchangeable</t>
  </si>
  <si>
    <t>Polarized</t>
  </si>
  <si>
    <t>Clarion Interchangeable</t>
  </si>
  <si>
    <t>Clarion Polarized</t>
  </si>
  <si>
    <t>Fototec</t>
  </si>
  <si>
    <t>Polarized Fototec</t>
  </si>
  <si>
    <t>Readers</t>
  </si>
  <si>
    <t>TYPE</t>
  </si>
  <si>
    <t>TOTAL</t>
  </si>
  <si>
    <t>DESCRIPTION</t>
  </si>
  <si>
    <t>TOTAL (QTY)</t>
  </si>
  <si>
    <t>COST</t>
  </si>
  <si>
    <t>Crit</t>
  </si>
  <si>
    <t>Veloce</t>
  </si>
  <si>
    <t>MODEL</t>
  </si>
  <si>
    <t>Smoke/AC Red/Clear</t>
  </si>
  <si>
    <t>Clarion Blue/AC Red/Clear</t>
  </si>
  <si>
    <t>Brown Polarized</t>
  </si>
  <si>
    <t>Vero, Carbon</t>
  </si>
  <si>
    <t>Vero, Gloss Black</t>
  </si>
  <si>
    <t xml:space="preserve">Polarized </t>
  </si>
  <si>
    <t>Vero, Skycloud</t>
  </si>
  <si>
    <t>Vero</t>
  </si>
  <si>
    <t>1500400181</t>
  </si>
  <si>
    <t>Swank, Satin Black</t>
  </si>
  <si>
    <t>Swank</t>
  </si>
  <si>
    <t>1500402374</t>
  </si>
  <si>
    <t>Swank, Woodgrain</t>
  </si>
  <si>
    <t>1500409471</t>
  </si>
  <si>
    <t>Swank, Brown Fade</t>
  </si>
  <si>
    <t>Clarion Blue Polarized</t>
  </si>
  <si>
    <t>1040100101</t>
  </si>
  <si>
    <t>1040305331</t>
  </si>
  <si>
    <t>1340100101</t>
  </si>
  <si>
    <t>1340308431</t>
  </si>
  <si>
    <t>1340607461</t>
  </si>
  <si>
    <t>1470100201</t>
  </si>
  <si>
    <t>1470107722</t>
  </si>
  <si>
    <t>1470300731</t>
  </si>
  <si>
    <t>1470500250</t>
  </si>
  <si>
    <t>1500500151</t>
  </si>
  <si>
    <t>1500505355</t>
  </si>
  <si>
    <t>Swank, Satin Clear</t>
  </si>
  <si>
    <t>1500505450</t>
  </si>
  <si>
    <t>Swank, Blue Confetti</t>
  </si>
  <si>
    <t>Clarion Yellow/AC Red/Clear</t>
  </si>
  <si>
    <t>Swick, Satin Black/Crimson</t>
  </si>
  <si>
    <t>Swick, Crystal Clear</t>
  </si>
  <si>
    <t>Swick, Onyx Blue Fade</t>
  </si>
  <si>
    <t>1520400178</t>
  </si>
  <si>
    <t>1520405374</t>
  </si>
  <si>
    <t>1520407563</t>
  </si>
  <si>
    <t>Swick</t>
  </si>
  <si>
    <t>Enliven Golf</t>
  </si>
  <si>
    <t>1040400259</t>
  </si>
  <si>
    <t>1340400159</t>
  </si>
  <si>
    <t>1520409471</t>
  </si>
  <si>
    <t>1520409573</t>
  </si>
  <si>
    <t>Swick, Brown Fade</t>
  </si>
  <si>
    <t>Swick, Onyx Fade</t>
  </si>
  <si>
    <t>Clear</t>
  </si>
  <si>
    <t>1500401970</t>
  </si>
  <si>
    <t>1500408179</t>
  </si>
  <si>
    <t>1500408470</t>
  </si>
  <si>
    <t>1520402870</t>
  </si>
  <si>
    <t>1520403581</t>
  </si>
  <si>
    <t>Rose Mirror</t>
  </si>
  <si>
    <t>Brown Gradient</t>
  </si>
  <si>
    <t>Swank, Bottle Green</t>
  </si>
  <si>
    <t>Swank, Crystal Brown/Onyx</t>
  </si>
  <si>
    <t>Swank, Onyx Clear</t>
  </si>
  <si>
    <t>Swick, Midnight Navy</t>
  </si>
  <si>
    <t>Swick, Satin Vapor</t>
  </si>
  <si>
    <t>1520400170</t>
  </si>
  <si>
    <t xml:space="preserve">Smoke </t>
  </si>
  <si>
    <t>1500410570</t>
  </si>
  <si>
    <t>1470400259</t>
  </si>
  <si>
    <t>1650400170</t>
  </si>
  <si>
    <t>Centus, Matte Black</t>
  </si>
  <si>
    <t>Centus</t>
  </si>
  <si>
    <t>1650400471</t>
  </si>
  <si>
    <t>Centus, Iron</t>
  </si>
  <si>
    <t>ShutOut</t>
  </si>
  <si>
    <t>1660401278</t>
  </si>
  <si>
    <t>1660401281</t>
  </si>
  <si>
    <t>1660410570</t>
  </si>
  <si>
    <t>ShutOut, Blackout</t>
  </si>
  <si>
    <t>Clarion Red Fototec</t>
  </si>
  <si>
    <t>Clarion Fototec</t>
  </si>
  <si>
    <t>SKU</t>
  </si>
  <si>
    <t>UPC</t>
  </si>
  <si>
    <t>Category</t>
  </si>
  <si>
    <t>Lifestyle</t>
  </si>
  <si>
    <t>Performance / Tech</t>
  </si>
  <si>
    <t>Youth</t>
  </si>
  <si>
    <t>Swank XL</t>
  </si>
  <si>
    <t>Rail</t>
  </si>
  <si>
    <t>1710110501</t>
  </si>
  <si>
    <t>1710106122</t>
  </si>
  <si>
    <t>1710300130</t>
  </si>
  <si>
    <t>1720410570</t>
  </si>
  <si>
    <t>1720402878</t>
  </si>
  <si>
    <t>1720410381</t>
  </si>
  <si>
    <t>1720406764</t>
  </si>
  <si>
    <t>1720509450</t>
  </si>
  <si>
    <t>1650400278</t>
  </si>
  <si>
    <t>848869020780</t>
  </si>
  <si>
    <t>1720510551</t>
  </si>
  <si>
    <t>Item</t>
  </si>
  <si>
    <t>TOTAL (USD):</t>
  </si>
  <si>
    <t>Swick, BlackOut</t>
  </si>
  <si>
    <t>1520510548</t>
  </si>
  <si>
    <t>Sky Blue Polarized</t>
  </si>
  <si>
    <t>1520502849</t>
  </si>
  <si>
    <t>Swank, BlackOut</t>
  </si>
  <si>
    <t>1500510548</t>
  </si>
  <si>
    <t>1720502848</t>
  </si>
  <si>
    <t>Gold Mirror</t>
  </si>
  <si>
    <t>1760101225</t>
  </si>
  <si>
    <t>1760102824</t>
  </si>
  <si>
    <t>848869021947</t>
  </si>
  <si>
    <t>848869021923</t>
  </si>
  <si>
    <t>Rail Race</t>
  </si>
  <si>
    <t>Clarion Blue/Clear</t>
  </si>
  <si>
    <t>Clarion Red/Clear</t>
  </si>
  <si>
    <t xml:space="preserve">Brown Polarized </t>
  </si>
  <si>
    <t xml:space="preserve">Seek FC 2.0, Gloss Black </t>
  </si>
  <si>
    <t>Seek FC 2.0, Gloss Black</t>
  </si>
  <si>
    <t>Seek FC 2.0, Tortoise</t>
  </si>
  <si>
    <t>Seek FC 2.0, Satin Vapor</t>
  </si>
  <si>
    <t>Seek FC 2.0, Blackout</t>
  </si>
  <si>
    <t>Seek FC 2.0</t>
  </si>
  <si>
    <t>Rail XC, Crystal Smoke</t>
  </si>
  <si>
    <t>Rail XC, Crystal Clear</t>
  </si>
  <si>
    <t>Smoke/ AC Red/ Clear</t>
  </si>
  <si>
    <t>Clarion Blue Fototec</t>
  </si>
  <si>
    <t>Rail XC</t>
  </si>
  <si>
    <t xml:space="preserve">Rail XC </t>
  </si>
  <si>
    <t>Smirk, Matte Blue Tortoise</t>
  </si>
  <si>
    <t>Smirk, Crystal Denim</t>
  </si>
  <si>
    <t>Smirk, Blackout</t>
  </si>
  <si>
    <t>Smirk, Honey</t>
  </si>
  <si>
    <t>GT</t>
  </si>
  <si>
    <t>Smirk</t>
  </si>
  <si>
    <t>1790404775</t>
  </si>
  <si>
    <t>Vogel SL, Matte Black</t>
  </si>
  <si>
    <t>Vogel SL, Crystal Clear</t>
  </si>
  <si>
    <t>Vogel SL, Crystal Smoke</t>
  </si>
  <si>
    <t>Vogel SL, Blackout</t>
  </si>
  <si>
    <t>Pink Mirror</t>
  </si>
  <si>
    <t>Vogel SL</t>
  </si>
  <si>
    <t>Rivet, Blackout</t>
  </si>
  <si>
    <t>Rivet, Matte Black</t>
  </si>
  <si>
    <t xml:space="preserve">Rivet, Satin Vapor </t>
  </si>
  <si>
    <t>Rivet</t>
  </si>
  <si>
    <t>Rivet, Matte White</t>
  </si>
  <si>
    <t xml:space="preserve">Rivet, Gunmetal </t>
  </si>
  <si>
    <t>Rivet, Crystal Smoke</t>
  </si>
  <si>
    <t xml:space="preserve">Centus, Gloss Black </t>
  </si>
  <si>
    <t xml:space="preserve">Rail, Blackout </t>
  </si>
  <si>
    <t xml:space="preserve">Rail, Crystal Blue </t>
  </si>
  <si>
    <t xml:space="preserve">Rail, Matte Black </t>
  </si>
  <si>
    <t xml:space="preserve">Swank, BlackOut </t>
  </si>
  <si>
    <t xml:space="preserve">Swank XL, Blackout </t>
  </si>
  <si>
    <t xml:space="preserve">Swank XL, Brown Fade </t>
  </si>
  <si>
    <t xml:space="preserve">Swank XL, Frost Blue </t>
  </si>
  <si>
    <t xml:space="preserve">Swank XL, Pink Tortoise </t>
  </si>
  <si>
    <t xml:space="preserve">Swank XL, Satin Vapor </t>
  </si>
  <si>
    <t xml:space="preserve">Swick, BlackOut </t>
  </si>
  <si>
    <t xml:space="preserve">Swick, Satin Vapor </t>
  </si>
  <si>
    <t>Smirk, Aqua Shimmer</t>
  </si>
  <si>
    <t>1790401964</t>
  </si>
  <si>
    <t xml:space="preserve">Pink Mirror </t>
  </si>
  <si>
    <t>Swank, Rainbow Shine</t>
  </si>
  <si>
    <t>8700411070 </t>
  </si>
  <si>
    <t>Sanctum, Aqua Shimmer</t>
  </si>
  <si>
    <t>Sanctum</t>
  </si>
  <si>
    <t>1850400174</t>
  </si>
  <si>
    <t>848869023590</t>
  </si>
  <si>
    <t xml:space="preserve">Sanctum, Matte Black </t>
  </si>
  <si>
    <t>1850405346</t>
  </si>
  <si>
    <t>848869023637</t>
  </si>
  <si>
    <t>Sanctum, Satin Clear</t>
  </si>
  <si>
    <t>848869023583</t>
  </si>
  <si>
    <t>Sanctum, Matte Gunmetal</t>
  </si>
  <si>
    <t>1850409065</t>
  </si>
  <si>
    <t>848869023613</t>
  </si>
  <si>
    <t>Sanctum, Crystal Smoke</t>
  </si>
  <si>
    <t>1850410592</t>
  </si>
  <si>
    <t>848869023606</t>
  </si>
  <si>
    <t>Sanctum, BlackOut</t>
  </si>
  <si>
    <t>Smoke no Mirror</t>
  </si>
  <si>
    <t>1850412078</t>
  </si>
  <si>
    <t>848869023620</t>
  </si>
  <si>
    <t>Sanctum, Crystal Red Fade</t>
  </si>
  <si>
    <t>Stash</t>
  </si>
  <si>
    <t>1840110501</t>
  </si>
  <si>
    <t>848869023545</t>
  </si>
  <si>
    <t xml:space="preserve">Stash, BlackOut </t>
  </si>
  <si>
    <t>Smoke / AC Red / Clear</t>
  </si>
  <si>
    <t>1840302832</t>
  </si>
  <si>
    <t>848869023576</t>
  </si>
  <si>
    <t>Stash, Matte Smoke</t>
  </si>
  <si>
    <t>1840307430</t>
  </si>
  <si>
    <t>848869023569</t>
  </si>
  <si>
    <t>Stash, Matte Gunmetal</t>
  </si>
  <si>
    <t>1500404763</t>
  </si>
  <si>
    <t>1500411281</t>
  </si>
  <si>
    <t>848869024849</t>
  </si>
  <si>
    <t>848869023293</t>
  </si>
  <si>
    <t>Swank, Golden Ray</t>
  </si>
  <si>
    <t>Swank, Avant Clear</t>
  </si>
  <si>
    <t>1720404775</t>
  </si>
  <si>
    <t>848869021435</t>
  </si>
  <si>
    <t>Swank XL, Honey</t>
  </si>
  <si>
    <t>1800400265</t>
  </si>
  <si>
    <t>1800403785</t>
  </si>
  <si>
    <t xml:space="preserve">Violet Mirror
</t>
  </si>
  <si>
    <t>848869024863</t>
  </si>
  <si>
    <t>848869024870</t>
  </si>
  <si>
    <t>Vogel SL, Gloss Black</t>
  </si>
  <si>
    <t>Vogel SL, Crystal Purple</t>
  </si>
  <si>
    <t>8530810537</t>
  </si>
  <si>
    <t>Crit, Blackout Reader + 1.5</t>
  </si>
  <si>
    <t>Crit, Blackout Reader + 2.0</t>
  </si>
  <si>
    <t>Crit, Blackout Reader + 2.5</t>
  </si>
  <si>
    <t>Light Night Fototec + 1.5</t>
  </si>
  <si>
    <t>Light Night Fototec + 2.0</t>
  </si>
  <si>
    <t>Light Night Fototec + 2.5</t>
  </si>
  <si>
    <t>8530810538</t>
  </si>
  <si>
    <t>8530810539</t>
  </si>
  <si>
    <t>Sky Blue Mirror</t>
  </si>
  <si>
    <t>Smoke Bright Blue Mirror</t>
  </si>
  <si>
    <t>Smoke Red Mirror</t>
  </si>
  <si>
    <t>Smoke Green Mirror</t>
  </si>
  <si>
    <t>Smoke Yellow Mirror</t>
  </si>
  <si>
    <t>Cobalt Blue Mirror</t>
  </si>
  <si>
    <t>ShutOut, Matte White / Red</t>
  </si>
  <si>
    <t>ShutOut, Matte White / Blue</t>
  </si>
  <si>
    <t>AC Red</t>
  </si>
  <si>
    <t xml:space="preserve">Brown </t>
  </si>
  <si>
    <t>Sky Blue Mirror Polarized</t>
  </si>
  <si>
    <t>Emerald Mirror Polarized</t>
  </si>
  <si>
    <t xml:space="preserve">Smoke/AC Red/Clear </t>
  </si>
  <si>
    <t>1870410578</t>
  </si>
  <si>
    <t>1870410592</t>
  </si>
  <si>
    <t>1870406146</t>
  </si>
  <si>
    <t>1870404763</t>
  </si>
  <si>
    <t>Salto, Blackout</t>
  </si>
  <si>
    <t>Salto, Blue Horizon</t>
  </si>
  <si>
    <t>Salto, Golden Ray</t>
  </si>
  <si>
    <t>Salto</t>
  </si>
  <si>
    <t>1860408363</t>
  </si>
  <si>
    <t>1860404746</t>
  </si>
  <si>
    <t>1860407357</t>
  </si>
  <si>
    <t>1860404665</t>
  </si>
  <si>
    <t>Selca, Black Tortoise</t>
  </si>
  <si>
    <t>Selca, Crystal Brown</t>
  </si>
  <si>
    <t>Selca, Matte Tortoise</t>
  </si>
  <si>
    <t>Selca, Plum Crazy</t>
  </si>
  <si>
    <t>Selca</t>
  </si>
  <si>
    <t>1850404685</t>
  </si>
  <si>
    <t>Sanctum, Purple Punch</t>
  </si>
  <si>
    <t>Purple Mirror AR</t>
  </si>
  <si>
    <t>848869026133</t>
  </si>
  <si>
    <t>1760103713</t>
  </si>
  <si>
    <t>Rail Race, Crystal Purple</t>
  </si>
  <si>
    <t>Clarion Purple/Clear</t>
  </si>
  <si>
    <t>1760102810</t>
  </si>
  <si>
    <t>Rail Race, Satin Vapor</t>
  </si>
  <si>
    <t>Clarion Orange/Clear</t>
  </si>
  <si>
    <t xml:space="preserve">Rail Race, Matte White </t>
  </si>
  <si>
    <t xml:space="preserve">Rail Race, Satin Vapor </t>
  </si>
  <si>
    <t>1840109310</t>
  </si>
  <si>
    <t>Stash, Black Orange Fade</t>
  </si>
  <si>
    <t>Clarion Orange/AC Red/Clear</t>
  </si>
  <si>
    <t>1840105323</t>
  </si>
  <si>
    <t>Stash, Crystal Clear</t>
  </si>
  <si>
    <t>Clarion Purple/AC Red/Clear</t>
  </si>
  <si>
    <t>1880104616</t>
  </si>
  <si>
    <t>1880109229</t>
  </si>
  <si>
    <t>1880110501</t>
  </si>
  <si>
    <t>1880302830</t>
  </si>
  <si>
    <t>848869027192</t>
  </si>
  <si>
    <t>848869027208</t>
  </si>
  <si>
    <t>848869027215</t>
  </si>
  <si>
    <t>848869027222</t>
  </si>
  <si>
    <t>Moab, Plum Passion</t>
  </si>
  <si>
    <t>Moab, Sahara</t>
  </si>
  <si>
    <t>Moab, Blackout</t>
  </si>
  <si>
    <t>Moab, Satin Vapor</t>
  </si>
  <si>
    <t>Clarion Deep Purple/AC Red/Clear</t>
  </si>
  <si>
    <t>Clarion Gold/AC Red/Clear</t>
  </si>
  <si>
    <t>Moab</t>
  </si>
  <si>
    <t>1850410393</t>
  </si>
  <si>
    <t>848869027550</t>
  </si>
  <si>
    <t>Sanctum, Ice Blue</t>
  </si>
  <si>
    <t>1500808618</t>
  </si>
  <si>
    <t>1500808619</t>
  </si>
  <si>
    <t>1500808620</t>
  </si>
  <si>
    <t>1500809418</t>
  </si>
  <si>
    <t>1500809419</t>
  </si>
  <si>
    <t>1500809420</t>
  </si>
  <si>
    <t>1790806118</t>
  </si>
  <si>
    <t>1790806119</t>
  </si>
  <si>
    <t>1790806120</t>
  </si>
  <si>
    <t>848869027079</t>
  </si>
  <si>
    <t>848869027086</t>
  </si>
  <si>
    <t>848869027093</t>
  </si>
  <si>
    <t>848869027109</t>
  </si>
  <si>
    <t>848869027116</t>
  </si>
  <si>
    <t>848869027123</t>
  </si>
  <si>
    <t>848869027161</t>
  </si>
  <si>
    <t>848869027178</t>
  </si>
  <si>
    <t>848869027185</t>
  </si>
  <si>
    <t>Smirk, Crystal Denim, Clear Full Reader +1.5 AR</t>
  </si>
  <si>
    <t>Smirk, Crystal Denim, Clear Full Reader +2.0 AR</t>
  </si>
  <si>
    <t>Smirk, Crystal Denim, Clear Full Reader +2.5 AR</t>
  </si>
  <si>
    <t>Clear Full Reader +1.5 AR</t>
  </si>
  <si>
    <t>Clear Full Reader +2.0 AR</t>
  </si>
  <si>
    <t>Clear Full Reader +2.5 AR</t>
  </si>
  <si>
    <t>Single Lens - Reader</t>
  </si>
  <si>
    <t>Swank, Crystal Clear, Reader</t>
  </si>
  <si>
    <t>Swank, Brown Fade, Reader</t>
  </si>
  <si>
    <t>1890400185</t>
  </si>
  <si>
    <t>1890404546</t>
  </si>
  <si>
    <t>1890405363</t>
  </si>
  <si>
    <t>1890408673</t>
  </si>
  <si>
    <t>1890410572</t>
  </si>
  <si>
    <t>1890410592</t>
  </si>
  <si>
    <t>Vogel XC, Matte Black</t>
  </si>
  <si>
    <t>Vogel XC, Crystal Pink</t>
  </si>
  <si>
    <t>Vogel XC, Satin Clear</t>
  </si>
  <si>
    <t>Vogel XC, Crystal Clear</t>
  </si>
  <si>
    <t>Vogel XC, Blackout</t>
  </si>
  <si>
    <t>848869027499</t>
  </si>
  <si>
    <t>848869027512</t>
  </si>
  <si>
    <t>848869027505</t>
  </si>
  <si>
    <t>848869027543</t>
  </si>
  <si>
    <t>848869027529</t>
  </si>
  <si>
    <t>848869027536</t>
  </si>
  <si>
    <t>Violet Mirror</t>
  </si>
  <si>
    <t xml:space="preserve">Smoke No Mirror </t>
  </si>
  <si>
    <t>Vogel XC</t>
  </si>
  <si>
    <t>1880102840</t>
  </si>
  <si>
    <t>1880104514</t>
  </si>
  <si>
    <t>1880101222</t>
  </si>
  <si>
    <t>1880313132</t>
  </si>
  <si>
    <t>Clarion Sunset Pink/AC Red/Clear</t>
  </si>
  <si>
    <t>Moab, Matte Pink</t>
  </si>
  <si>
    <t>Clarion Rose/AC Red/Clear</t>
  </si>
  <si>
    <t>Moab, Matte White</t>
  </si>
  <si>
    <t>Moab, Mist</t>
  </si>
  <si>
    <t>Sanctum, Crystal Smoke (Polarized)</t>
  </si>
  <si>
    <t>Green Mirror Polarized</t>
  </si>
  <si>
    <t>Sanctum, Blackout (Polarized)</t>
  </si>
  <si>
    <t>1900404775</t>
  </si>
  <si>
    <t>1900406145</t>
  </si>
  <si>
    <t>1900409093</t>
  </si>
  <si>
    <t>1900413546</t>
  </si>
  <si>
    <t>848869027765</t>
  </si>
  <si>
    <t>848869027734</t>
  </si>
  <si>
    <t>848869027741</t>
  </si>
  <si>
    <t>848869027758</t>
  </si>
  <si>
    <t>Shumo, Honey</t>
  </si>
  <si>
    <t>Shumo, Crystal Denim</t>
  </si>
  <si>
    <t>Shumo, Crystal Smoke</t>
  </si>
  <si>
    <t>Shumo, Midnight Coral</t>
  </si>
  <si>
    <t>Colbalt Blue Mirror</t>
  </si>
  <si>
    <t>Shumo</t>
  </si>
  <si>
    <t>Sanctum XL</t>
  </si>
  <si>
    <t>1910401246</t>
  </si>
  <si>
    <t>1910403593</t>
  </si>
  <si>
    <t>1910405391</t>
  </si>
  <si>
    <t>1910407963</t>
  </si>
  <si>
    <t>1910408274</t>
  </si>
  <si>
    <t>1910410592</t>
  </si>
  <si>
    <t>848869028151</t>
  </si>
  <si>
    <t>848869028175</t>
  </si>
  <si>
    <t>848869028182</t>
  </si>
  <si>
    <t>848869028168</t>
  </si>
  <si>
    <t>848869028199</t>
  </si>
  <si>
    <t>848869028205</t>
  </si>
  <si>
    <t>Sanctum XL, Matte White</t>
  </si>
  <si>
    <t>Sanctum XL, Midnight Vapor</t>
  </si>
  <si>
    <t>Sanctum XL, Satin Clear</t>
  </si>
  <si>
    <t>Sanctum XL, Matte Crystal Pink</t>
  </si>
  <si>
    <t>Sanctum XL, Satin Citrus</t>
  </si>
  <si>
    <t>Sanctum XL, Blackout</t>
  </si>
  <si>
    <t>Silver Mirror</t>
  </si>
  <si>
    <t>RX04</t>
  </si>
  <si>
    <t>RX Adaptor 2024</t>
  </si>
  <si>
    <t>Shield Fototec</t>
  </si>
  <si>
    <t>1920102806</t>
  </si>
  <si>
    <t>1920102940</t>
  </si>
  <si>
    <t>1920104022</t>
  </si>
  <si>
    <t>1920106901</t>
  </si>
  <si>
    <t>1920301231</t>
  </si>
  <si>
    <t>1920302330</t>
  </si>
  <si>
    <t>1920309207</t>
  </si>
  <si>
    <t>1880302507</t>
  </si>
  <si>
    <t>1880307431</t>
  </si>
  <si>
    <t>Moab, Forest Vapor</t>
  </si>
  <si>
    <t xml:space="preserve">Moab, Matte Gunmetal </t>
  </si>
  <si>
    <t>Clarion Gold Fototec</t>
  </si>
  <si>
    <t>Moab Lite</t>
  </si>
  <si>
    <t>Moab Lite, Satin Vapor</t>
  </si>
  <si>
    <t>Moab Lite, Speed Yellow</t>
  </si>
  <si>
    <t>Moab Lite, Glacier Blue</t>
  </si>
  <si>
    <t>Moab Lite, Trail Pine</t>
  </si>
  <si>
    <t>Moab Lite, Matte White</t>
  </si>
  <si>
    <t>Moab Lite, Matte Bronze</t>
  </si>
  <si>
    <t>Moab Lite, Sahara</t>
  </si>
  <si>
    <t>Silver Mirror/AC Red/Clear</t>
  </si>
  <si>
    <t>1900508350</t>
  </si>
  <si>
    <t>Shumo, Java Fade</t>
  </si>
  <si>
    <t>1810810595</t>
  </si>
  <si>
    <t>Rivet, Blackout +1.5</t>
  </si>
  <si>
    <t>Clarion Red Fototec Reader +1.5</t>
  </si>
  <si>
    <t>Clarion Fototec Reader</t>
  </si>
  <si>
    <t>Clarion Red Fototec Reader +1.6</t>
  </si>
  <si>
    <t>Clarion Red Fototec Reader +1.7</t>
  </si>
  <si>
    <t>Rivet, Blackout +2.0</t>
  </si>
  <si>
    <t>Rivet, Blackout +2.5</t>
  </si>
  <si>
    <t>1810810596</t>
  </si>
  <si>
    <t>1810810597</t>
  </si>
  <si>
    <t>1800405373</t>
  </si>
  <si>
    <t>Vogel SL, Satin Clear</t>
  </si>
  <si>
    <t>1470400473</t>
  </si>
  <si>
    <t>Vero, Iron</t>
  </si>
  <si>
    <t>1811010573</t>
  </si>
  <si>
    <t>1950400270</t>
  </si>
  <si>
    <t>1950401281</t>
  </si>
  <si>
    <t>1950402872</t>
  </si>
  <si>
    <t>1950403563</t>
  </si>
  <si>
    <t>1950405346</t>
  </si>
  <si>
    <t>1960400272</t>
  </si>
  <si>
    <t>1960400459</t>
  </si>
  <si>
    <t>1960402878</t>
  </si>
  <si>
    <t>1960405373</t>
  </si>
  <si>
    <t>1960410592</t>
  </si>
  <si>
    <t>Navar, Gloss Black</t>
  </si>
  <si>
    <t>Navar, Matte White</t>
  </si>
  <si>
    <t>Navar, Satin Vapor</t>
  </si>
  <si>
    <t>Navar, Midnight Vapor</t>
  </si>
  <si>
    <t>Navar, Satin Clear</t>
  </si>
  <si>
    <t>Navar FC, Gloss Black</t>
  </si>
  <si>
    <t>Navar FC, Iron</t>
  </si>
  <si>
    <t>Navar FC, Satin Vapor</t>
  </si>
  <si>
    <t>Navar FC, Satin Clear</t>
  </si>
  <si>
    <t>Navar FC, Blackout</t>
  </si>
  <si>
    <t xml:space="preserve">Smoke  </t>
  </si>
  <si>
    <t>848869030185</t>
  </si>
  <si>
    <t>848869030192</t>
  </si>
  <si>
    <t>848869030208</t>
  </si>
  <si>
    <t>848869030215</t>
  </si>
  <si>
    <t>848869030222</t>
  </si>
  <si>
    <t>848869030260</t>
  </si>
  <si>
    <t>848869030277</t>
  </si>
  <si>
    <t>848869030246</t>
  </si>
  <si>
    <t>848869030253</t>
  </si>
  <si>
    <t>848869030239</t>
  </si>
  <si>
    <t>Navar</t>
  </si>
  <si>
    <t>Navar FC</t>
  </si>
  <si>
    <t>2000110501</t>
  </si>
  <si>
    <t>2000109022</t>
  </si>
  <si>
    <t>2000102527</t>
  </si>
  <si>
    <t>2000305532</t>
  </si>
  <si>
    <t>2000102816</t>
  </si>
  <si>
    <t>2000302831</t>
  </si>
  <si>
    <t>848869030642</t>
  </si>
  <si>
    <t>848869031298</t>
  </si>
  <si>
    <t>848869031250</t>
  </si>
  <si>
    <t>848869031304</t>
  </si>
  <si>
    <t>848869031281</t>
  </si>
  <si>
    <t>848869031267</t>
  </si>
  <si>
    <t>Moab XC, Blackout</t>
  </si>
  <si>
    <t>Moab XC, Crystal Smoke</t>
  </si>
  <si>
    <t>Moab XC, Forest Vapor</t>
  </si>
  <si>
    <t>Moab XC, Kinetic Blue</t>
  </si>
  <si>
    <t>Moab XC, Satin Vapor</t>
  </si>
  <si>
    <t>Moab XC</t>
  </si>
  <si>
    <t>1980510551</t>
  </si>
  <si>
    <t>1980410592</t>
  </si>
  <si>
    <t>1980408693</t>
  </si>
  <si>
    <t>1980402574</t>
  </si>
  <si>
    <t>1980504750</t>
  </si>
  <si>
    <t>1980400181</t>
  </si>
  <si>
    <t>1980403546</t>
  </si>
  <si>
    <t>1980402878</t>
  </si>
  <si>
    <t>848869030802</t>
  </si>
  <si>
    <t>848869030789</t>
  </si>
  <si>
    <t>848869030772</t>
  </si>
  <si>
    <t>848869030765</t>
  </si>
  <si>
    <t>848869030796</t>
  </si>
  <si>
    <t>848869030758</t>
  </si>
  <si>
    <t>848869031373</t>
  </si>
  <si>
    <t>848869031366</t>
  </si>
  <si>
    <t>Sylo, Blackout</t>
  </si>
  <si>
    <t xml:space="preserve">Sylo, Blackout   </t>
  </si>
  <si>
    <t xml:space="preserve">Sylo, Crystal Clear   </t>
  </si>
  <si>
    <t xml:space="preserve">Sylo, Forest Vapor  </t>
  </si>
  <si>
    <t xml:space="preserve">Sylo, Honey  </t>
  </si>
  <si>
    <t xml:space="preserve">Sylo, Matte Black  </t>
  </si>
  <si>
    <t>Smoke Bright Blue</t>
  </si>
  <si>
    <t>Sylo, Midnight Vapor</t>
  </si>
  <si>
    <t>Sylo, Satin Vapor</t>
  </si>
  <si>
    <t>Sylo</t>
  </si>
  <si>
    <t>1990510551</t>
  </si>
  <si>
    <t>1990410592</t>
  </si>
  <si>
    <t>1990408685</t>
  </si>
  <si>
    <t>1990407946</t>
  </si>
  <si>
    <t>1990404063</t>
  </si>
  <si>
    <t>1990400281</t>
  </si>
  <si>
    <t>1990400174</t>
  </si>
  <si>
    <t>1990403591</t>
  </si>
  <si>
    <t>Sanctum SL, Blackout</t>
  </si>
  <si>
    <t xml:space="preserve">Sanctum SL, Blackout  </t>
  </si>
  <si>
    <t>Sanctum SL, Crystal Clear</t>
  </si>
  <si>
    <t>Sanctum SL, Frosted Rose</t>
  </si>
  <si>
    <t>Sanctum SL, Glacier Blue</t>
  </si>
  <si>
    <t xml:space="preserve">Sanctum SL, Gloss Black  </t>
  </si>
  <si>
    <t xml:space="preserve">Sanctum SL, Matte Black   </t>
  </si>
  <si>
    <t>Sanctum SL, Midnight Vapor</t>
  </si>
  <si>
    <t>Sanctum SL</t>
  </si>
  <si>
    <t>848869030703</t>
  </si>
  <si>
    <t>848869030697</t>
  </si>
  <si>
    <t>848869031359</t>
  </si>
  <si>
    <t>848869031342</t>
  </si>
  <si>
    <t>848869031335</t>
  </si>
  <si>
    <t>848869030680</t>
  </si>
  <si>
    <t>848869030673</t>
  </si>
  <si>
    <t>848869031328</t>
  </si>
  <si>
    <t>NEW for 2026 - BLUE</t>
  </si>
  <si>
    <t>1520402565</t>
  </si>
  <si>
    <t>Swick, Forest Vapor</t>
  </si>
  <si>
    <t>RX05</t>
  </si>
  <si>
    <t>RX Adaptor for Moab Lite</t>
  </si>
  <si>
    <t>RX Adaptor</t>
  </si>
  <si>
    <t>RX Adaptor - Moab Lite</t>
  </si>
  <si>
    <t>RX Adaptor for Moab XC</t>
  </si>
  <si>
    <t>RX Adaptor - Moab XC</t>
  </si>
  <si>
    <t>RX06</t>
  </si>
  <si>
    <t>RX Adaptor for Rail/Rail Race/      Rail XC/Sledge Lite</t>
  </si>
  <si>
    <t>2000307408</t>
  </si>
  <si>
    <t>Moab XC, Matte Gunmetal</t>
  </si>
  <si>
    <t>Clarion Pink Fototec</t>
  </si>
  <si>
    <t>1920305308</t>
  </si>
  <si>
    <t>Moab Lite, Satin Clear</t>
  </si>
  <si>
    <t>8850313408</t>
  </si>
  <si>
    <t>Moab, Cobalt Bloom</t>
  </si>
  <si>
    <t>2040410592</t>
  </si>
  <si>
    <t>2040406181</t>
  </si>
  <si>
    <t>2040408693</t>
  </si>
  <si>
    <t>2040403763</t>
  </si>
  <si>
    <t>2040508350</t>
  </si>
  <si>
    <t>848869032264</t>
  </si>
  <si>
    <t>848869032288</t>
  </si>
  <si>
    <t>848869032257</t>
  </si>
  <si>
    <t>848869032271</t>
  </si>
  <si>
    <t>848869032295</t>
  </si>
  <si>
    <t>Swank S, Blackout</t>
  </si>
  <si>
    <t>Swank S, Blue Horizon</t>
  </si>
  <si>
    <t>Swank S, Crystal Clear</t>
  </si>
  <si>
    <t>Swank S, Crystal Purple</t>
  </si>
  <si>
    <t>Swank S, Java Fade</t>
  </si>
  <si>
    <t>Swank S</t>
  </si>
  <si>
    <t>2030408763</t>
  </si>
  <si>
    <t>2030404379</t>
  </si>
  <si>
    <t>2030412171</t>
  </si>
  <si>
    <t>2030508451</t>
  </si>
  <si>
    <t>2030404663</t>
  </si>
  <si>
    <t>848869032516</t>
  </si>
  <si>
    <t>848869032523</t>
  </si>
  <si>
    <t>848869032530</t>
  </si>
  <si>
    <t>848869032547</t>
  </si>
  <si>
    <t>848869032509</t>
  </si>
  <si>
    <t>Stella, Blue Haze</t>
  </si>
  <si>
    <t>Stella, Crystal Champagne</t>
  </si>
  <si>
    <t>Stella, Java Tortoise</t>
  </si>
  <si>
    <t>Stella, Onyx Clear</t>
  </si>
  <si>
    <t>Stella, Plum Crazy</t>
  </si>
  <si>
    <t>Stella</t>
  </si>
  <si>
    <t>1800405591</t>
  </si>
  <si>
    <t>Vogel SL, Kinetic Blue</t>
  </si>
  <si>
    <t>1520405363</t>
  </si>
  <si>
    <t>1980408359</t>
  </si>
  <si>
    <t>Sylo, Java Fade</t>
  </si>
  <si>
    <t xml:space="preserve">2026  ORDER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</si>
</sst>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[$€-2]\ * #,##0.00_);_([$€-2]\ * \(#,##0.00\);_([$€-2]\ * &quot;-&quot;??_);_(@_)"/>
    <numFmt numFmtId="167" formatCode="&quot;$&quot;#,##0.00"/>
    <numFmt numFmtId="168" formatCode="[$€-813]\ #,##0.0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i/>
      <sz val="12"/>
      <name val="Aptos"/>
      <family val="2"/>
    </font>
    <font>
      <b/>
      <i/>
      <sz val="22"/>
      <name val="Aptos"/>
      <family val="2"/>
    </font>
    <font>
      <b/>
      <sz val="12"/>
      <name val="Aptos"/>
      <family val="2"/>
    </font>
    <font>
      <b/>
      <i/>
      <sz val="16"/>
      <name val="Aptos"/>
      <family val="2"/>
    </font>
    <font>
      <b/>
      <i/>
      <sz val="18"/>
      <color rgb="FF0070C0"/>
      <name val="Aptos"/>
      <family val="2"/>
    </font>
    <font>
      <b/>
      <u/>
      <sz val="12"/>
      <name val="Aptos"/>
      <family val="2"/>
    </font>
    <font>
      <sz val="12"/>
      <color rgb="FFFF0000"/>
      <name val="Aptos"/>
      <family val="2"/>
    </font>
    <font>
      <sz val="12"/>
      <name val="Aptos"/>
      <family val="2"/>
    </font>
    <font>
      <b/>
      <sz val="12"/>
      <color rgb="FF0070C0"/>
      <name val="Aptos"/>
      <family val="2"/>
    </font>
    <font>
      <sz val="12"/>
      <color rgb="FF0070C0"/>
      <name val="Aptos"/>
      <family val="2"/>
    </font>
    <font>
      <sz val="12"/>
      <color rgb="FF00B050"/>
      <name val="Aptos"/>
      <family val="2"/>
    </font>
    <font>
      <sz val="12"/>
      <color rgb="FF00B0F0"/>
      <name val="Aptos"/>
      <family val="2"/>
    </font>
    <font>
      <b/>
      <sz val="12"/>
      <color rgb="FF00B050"/>
      <name val="Aptos"/>
      <family val="2"/>
    </font>
    <font>
      <b/>
      <sz val="12"/>
      <color rgb="FF006BBA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7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0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1" fillId="0" borderId="0"/>
    <xf numFmtId="0" fontId="3" fillId="0" borderId="0"/>
    <xf numFmtId="0" fontId="2" fillId="0" borderId="0"/>
    <xf numFmtId="0" fontId="4" fillId="32" borderId="7" applyNumberFormat="0" applyFont="0" applyAlignment="0" applyProtection="0"/>
    <xf numFmtId="0" fontId="4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</cellStyleXfs>
  <cellXfs count="337">
    <xf numFmtId="0" fontId="0" fillId="0" borderId="0" xfId="0"/>
    <xf numFmtId="0" fontId="26" fillId="0" borderId="0" xfId="0" applyFont="1" applyProtection="1">
      <protection locked="0"/>
    </xf>
    <xf numFmtId="0" fontId="28" fillId="0" borderId="0" xfId="0" applyFont="1" applyProtection="1">
      <protection locked="0"/>
    </xf>
    <xf numFmtId="49" fontId="26" fillId="0" borderId="13" xfId="0" applyNumberFormat="1" applyFont="1" applyBorder="1" applyAlignment="1" applyProtection="1">
      <alignment horizontal="left" vertical="center"/>
      <protection locked="0"/>
    </xf>
    <xf numFmtId="49" fontId="26" fillId="0" borderId="0" xfId="0" applyNumberFormat="1" applyFont="1" applyAlignment="1" applyProtection="1">
      <alignment horizontal="left" vertical="center" indent="1"/>
      <protection locked="0"/>
    </xf>
    <xf numFmtId="0" fontId="26" fillId="0" borderId="10" xfId="0" applyFont="1" applyBorder="1" applyAlignment="1" applyProtection="1">
      <alignment vertical="center"/>
      <protection locked="0"/>
    </xf>
    <xf numFmtId="49" fontId="28" fillId="0" borderId="11" xfId="0" applyNumberFormat="1" applyFont="1" applyBorder="1" applyAlignment="1" applyProtection="1">
      <alignment horizontal="left" vertical="top" inden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64" fontId="28" fillId="35" borderId="38" xfId="41" applyFont="1" applyFill="1" applyBorder="1" applyAlignment="1" applyProtection="1">
      <alignment horizontal="center" vertical="center"/>
    </xf>
    <xf numFmtId="1" fontId="28" fillId="35" borderId="18" xfId="41" applyNumberFormat="1" applyFont="1" applyFill="1" applyBorder="1" applyAlignment="1" applyProtection="1">
      <alignment horizontal="center" vertical="center"/>
      <protection locked="0"/>
    </xf>
    <xf numFmtId="164" fontId="28" fillId="35" borderId="34" xfId="41" applyFont="1" applyFill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  <protection locked="0"/>
    </xf>
    <xf numFmtId="0" fontId="28" fillId="0" borderId="18" xfId="40" applyNumberFormat="1" applyFont="1" applyFill="1" applyBorder="1" applyAlignment="1" applyProtection="1">
      <alignment horizontal="center" vertical="center"/>
    </xf>
    <xf numFmtId="168" fontId="28" fillId="0" borderId="26" xfId="41" applyNumberFormat="1" applyFont="1" applyFill="1" applyBorder="1" applyAlignment="1" applyProtection="1">
      <alignment horizontal="center" vertical="center"/>
    </xf>
    <xf numFmtId="49" fontId="28" fillId="0" borderId="18" xfId="43" applyNumberFormat="1" applyFont="1" applyFill="1" applyBorder="1" applyAlignment="1" applyProtection="1">
      <alignment horizontal="center" vertical="center"/>
    </xf>
    <xf numFmtId="0" fontId="28" fillId="0" borderId="18" xfId="43" applyFont="1" applyFill="1" applyBorder="1" applyAlignment="1" applyProtection="1">
      <alignment horizontal="center" vertical="center"/>
    </xf>
    <xf numFmtId="0" fontId="28" fillId="0" borderId="0" xfId="0" applyFont="1" applyAlignment="1" applyProtection="1">
      <alignment horizontal="center" vertical="center"/>
      <protection locked="0"/>
    </xf>
    <xf numFmtId="164" fontId="28" fillId="35" borderId="41" xfId="41" applyFont="1" applyFill="1" applyBorder="1" applyAlignment="1" applyProtection="1">
      <alignment horizontal="center" vertical="center"/>
    </xf>
    <xf numFmtId="1" fontId="28" fillId="35" borderId="19" xfId="41" applyNumberFormat="1" applyFont="1" applyFill="1" applyBorder="1" applyAlignment="1" applyProtection="1">
      <alignment horizontal="center" vertical="center"/>
      <protection locked="0"/>
    </xf>
    <xf numFmtId="164" fontId="28" fillId="35" borderId="37" xfId="41" applyFont="1" applyFill="1" applyBorder="1" applyAlignment="1" applyProtection="1">
      <alignment horizontal="center" vertical="center"/>
    </xf>
    <xf numFmtId="168" fontId="28" fillId="0" borderId="42" xfId="41" applyNumberFormat="1" applyFont="1" applyFill="1" applyBorder="1" applyAlignment="1" applyProtection="1">
      <alignment horizontal="center" vertical="center"/>
    </xf>
    <xf numFmtId="164" fontId="28" fillId="35" borderId="42" xfId="41" applyFont="1" applyFill="1" applyBorder="1" applyAlignment="1" applyProtection="1">
      <alignment horizontal="center" vertical="center"/>
    </xf>
    <xf numFmtId="1" fontId="28" fillId="35" borderId="17" xfId="41" applyNumberFormat="1" applyFont="1" applyFill="1" applyBorder="1" applyAlignment="1" applyProtection="1">
      <alignment horizontal="center" vertical="center"/>
      <protection locked="0"/>
    </xf>
    <xf numFmtId="164" fontId="28" fillId="35" borderId="33" xfId="41" applyFont="1" applyFill="1" applyBorder="1" applyAlignment="1" applyProtection="1">
      <alignment horizontal="center" vertical="center"/>
    </xf>
    <xf numFmtId="49" fontId="28" fillId="0" borderId="18" xfId="41" applyNumberFormat="1" applyFont="1" applyFill="1" applyBorder="1" applyAlignment="1" applyProtection="1">
      <alignment horizontal="center" vertical="center"/>
    </xf>
    <xf numFmtId="168" fontId="28" fillId="0" borderId="38" xfId="41" applyNumberFormat="1" applyFont="1" applyFill="1" applyBorder="1" applyAlignment="1" applyProtection="1">
      <alignment horizontal="center" vertical="center"/>
    </xf>
    <xf numFmtId="49" fontId="28" fillId="0" borderId="27" xfId="41" applyNumberFormat="1" applyFont="1" applyFill="1" applyBorder="1" applyAlignment="1" applyProtection="1">
      <alignment horizontal="center" vertical="center"/>
    </xf>
    <xf numFmtId="168" fontId="28" fillId="0" borderId="27" xfId="41" applyNumberFormat="1" applyFont="1" applyFill="1" applyBorder="1" applyAlignment="1" applyProtection="1">
      <alignment horizontal="center" vertical="center"/>
    </xf>
    <xf numFmtId="164" fontId="28" fillId="35" borderId="32" xfId="41" applyFont="1" applyFill="1" applyBorder="1" applyAlignment="1" applyProtection="1">
      <alignment horizontal="center" vertical="center"/>
    </xf>
    <xf numFmtId="1" fontId="28" fillId="35" borderId="27" xfId="41" applyNumberFormat="1" applyFont="1" applyFill="1" applyBorder="1" applyAlignment="1" applyProtection="1">
      <alignment horizontal="center" vertical="center"/>
      <protection locked="0"/>
    </xf>
    <xf numFmtId="164" fontId="28" fillId="35" borderId="36" xfId="41" applyFont="1" applyFill="1" applyBorder="1" applyAlignment="1" applyProtection="1">
      <alignment horizontal="center" vertical="center"/>
    </xf>
    <xf numFmtId="164" fontId="28" fillId="35" borderId="26" xfId="41" applyFont="1" applyFill="1" applyBorder="1" applyAlignment="1" applyProtection="1">
      <alignment horizontal="center" vertical="center"/>
    </xf>
    <xf numFmtId="1" fontId="28" fillId="35" borderId="28" xfId="41" applyNumberFormat="1" applyFont="1" applyFill="1" applyBorder="1" applyAlignment="1" applyProtection="1">
      <alignment horizontal="center" vertical="center"/>
      <protection locked="0"/>
    </xf>
    <xf numFmtId="164" fontId="28" fillId="35" borderId="35" xfId="41" applyFont="1" applyFill="1" applyBorder="1" applyAlignment="1" applyProtection="1">
      <alignment horizontal="center" vertical="center"/>
    </xf>
    <xf numFmtId="164" fontId="34" fillId="35" borderId="17" xfId="41" applyFont="1" applyFill="1" applyBorder="1" applyAlignment="1" applyProtection="1">
      <alignment horizontal="center" vertical="center"/>
    </xf>
    <xf numFmtId="1" fontId="34" fillId="35" borderId="17" xfId="41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49" fontId="34" fillId="0" borderId="18" xfId="41" applyNumberFormat="1" applyFont="1" applyFill="1" applyBorder="1" applyAlignment="1" applyProtection="1">
      <alignment horizontal="center" vertical="center"/>
    </xf>
    <xf numFmtId="168" fontId="34" fillId="0" borderId="18" xfId="41" applyNumberFormat="1" applyFont="1" applyFill="1" applyBorder="1" applyAlignment="1" applyProtection="1">
      <alignment horizontal="center" vertical="center"/>
    </xf>
    <xf numFmtId="164" fontId="34" fillId="35" borderId="18" xfId="41" applyFont="1" applyFill="1" applyBorder="1" applyAlignment="1" applyProtection="1">
      <alignment horizontal="center" vertical="center"/>
    </xf>
    <xf numFmtId="1" fontId="34" fillId="35" borderId="18" xfId="41" applyNumberFormat="1" applyFont="1" applyFill="1" applyBorder="1" applyAlignment="1" applyProtection="1">
      <alignment horizontal="center" vertical="center"/>
      <protection locked="0"/>
    </xf>
    <xf numFmtId="164" fontId="34" fillId="35" borderId="19" xfId="41" applyFont="1" applyFill="1" applyBorder="1" applyAlignment="1" applyProtection="1">
      <alignment horizontal="center" vertical="center"/>
    </xf>
    <xf numFmtId="1" fontId="34" fillId="35" borderId="19" xfId="41" applyNumberFormat="1" applyFont="1" applyFill="1" applyBorder="1" applyAlignment="1" applyProtection="1">
      <alignment horizontal="center" vertical="center"/>
      <protection locked="0"/>
    </xf>
    <xf numFmtId="168" fontId="28" fillId="0" borderId="18" xfId="41" applyNumberFormat="1" applyFont="1" applyFill="1" applyBorder="1" applyAlignment="1" applyProtection="1">
      <alignment horizontal="center" vertical="center"/>
    </xf>
    <xf numFmtId="164" fontId="28" fillId="35" borderId="40" xfId="41" applyFont="1" applyFill="1" applyBorder="1" applyAlignment="1" applyProtection="1">
      <alignment horizontal="center" vertical="center"/>
    </xf>
    <xf numFmtId="168" fontId="28" fillId="0" borderId="43" xfId="41" applyNumberFormat="1" applyFont="1" applyFill="1" applyBorder="1" applyAlignment="1" applyProtection="1">
      <alignment horizontal="center" vertical="center"/>
    </xf>
    <xf numFmtId="164" fontId="28" fillId="35" borderId="43" xfId="41" applyFont="1" applyFill="1" applyBorder="1" applyAlignment="1" applyProtection="1">
      <alignment horizontal="center" vertical="center"/>
    </xf>
    <xf numFmtId="164" fontId="34" fillId="35" borderId="42" xfId="41" applyFont="1" applyFill="1" applyBorder="1" applyAlignment="1" applyProtection="1">
      <alignment horizontal="center" vertical="center"/>
    </xf>
    <xf numFmtId="164" fontId="34" fillId="35" borderId="23" xfId="41" applyFont="1" applyFill="1" applyBorder="1" applyAlignment="1" applyProtection="1">
      <alignment horizontal="center" vertical="center"/>
    </xf>
    <xf numFmtId="164" fontId="34" fillId="35" borderId="38" xfId="41" applyFont="1" applyFill="1" applyBorder="1" applyAlignment="1" applyProtection="1">
      <alignment horizontal="center" vertical="center"/>
    </xf>
    <xf numFmtId="164" fontId="34" fillId="35" borderId="28" xfId="41" applyFont="1" applyFill="1" applyBorder="1" applyAlignment="1" applyProtection="1">
      <alignment horizontal="center" vertical="center"/>
    </xf>
    <xf numFmtId="164" fontId="34" fillId="35" borderId="41" xfId="41" applyFont="1" applyFill="1" applyBorder="1" applyAlignment="1" applyProtection="1">
      <alignment horizontal="center" vertical="center"/>
    </xf>
    <xf numFmtId="0" fontId="36" fillId="0" borderId="0" xfId="0" applyFont="1" applyAlignment="1" applyProtection="1">
      <alignment horizontal="center" vertical="center"/>
      <protection locked="0"/>
    </xf>
    <xf numFmtId="168" fontId="28" fillId="0" borderId="24" xfId="41" applyNumberFormat="1" applyFont="1" applyFill="1" applyBorder="1" applyAlignment="1" applyProtection="1">
      <alignment horizontal="center" vertical="center"/>
    </xf>
    <xf numFmtId="168" fontId="28" fillId="0" borderId="32" xfId="41" applyNumberFormat="1" applyFont="1" applyFill="1" applyBorder="1" applyAlignment="1" applyProtection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68" fontId="28" fillId="0" borderId="41" xfId="41" applyNumberFormat="1" applyFont="1" applyFill="1" applyBorder="1" applyAlignment="1" applyProtection="1">
      <alignment horizontal="center" vertical="center"/>
    </xf>
    <xf numFmtId="164" fontId="28" fillId="35" borderId="10" xfId="41" applyFont="1" applyFill="1" applyBorder="1" applyAlignment="1" applyProtection="1">
      <alignment horizontal="center" vertical="center"/>
    </xf>
    <xf numFmtId="1" fontId="28" fillId="35" borderId="29" xfId="41" applyNumberFormat="1" applyFont="1" applyFill="1" applyBorder="1" applyAlignment="1" applyProtection="1">
      <alignment horizontal="center" vertical="center"/>
      <protection locked="0"/>
    </xf>
    <xf numFmtId="164" fontId="28" fillId="35" borderId="12" xfId="41" applyFont="1" applyFill="1" applyBorder="1" applyAlignment="1" applyProtection="1">
      <alignment horizontal="center" vertical="center"/>
    </xf>
    <xf numFmtId="168" fontId="34" fillId="0" borderId="17" xfId="41" applyNumberFormat="1" applyFont="1" applyFill="1" applyBorder="1" applyAlignment="1" applyProtection="1">
      <alignment horizontal="center" vertical="center"/>
    </xf>
    <xf numFmtId="1" fontId="34" fillId="35" borderId="24" xfId="41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1" fontId="34" fillId="35" borderId="26" xfId="41" applyNumberFormat="1" applyFont="1" applyFill="1" applyBorder="1" applyAlignment="1" applyProtection="1">
      <alignment horizontal="center" vertical="center"/>
      <protection locked="0"/>
    </xf>
    <xf numFmtId="1" fontId="34" fillId="35" borderId="25" xfId="41" applyNumberFormat="1" applyFont="1" applyFill="1" applyBorder="1" applyAlignment="1" applyProtection="1">
      <alignment horizontal="center" vertical="center"/>
      <protection locked="0"/>
    </xf>
    <xf numFmtId="168" fontId="28" fillId="0" borderId="30" xfId="41" applyNumberFormat="1" applyFont="1" applyFill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 vertical="center"/>
      <protection locked="0"/>
    </xf>
    <xf numFmtId="0" fontId="28" fillId="0" borderId="17" xfId="40" applyNumberFormat="1" applyFont="1" applyFill="1" applyBorder="1" applyAlignment="1" applyProtection="1">
      <alignment horizontal="center" vertical="center"/>
    </xf>
    <xf numFmtId="164" fontId="28" fillId="35" borderId="38" xfId="0" applyNumberFormat="1" applyFont="1" applyFill="1" applyBorder="1" applyAlignment="1">
      <alignment horizontal="center" vertical="center"/>
    </xf>
    <xf numFmtId="1" fontId="28" fillId="35" borderId="18" xfId="0" applyNumberFormat="1" applyFont="1" applyFill="1" applyBorder="1" applyAlignment="1" applyProtection="1">
      <alignment horizontal="center" vertical="center"/>
      <protection locked="0"/>
    </xf>
    <xf numFmtId="0" fontId="28" fillId="0" borderId="19" xfId="40" applyNumberFormat="1" applyFont="1" applyFill="1" applyBorder="1" applyAlignment="1" applyProtection="1">
      <alignment horizontal="center" vertical="center"/>
    </xf>
    <xf numFmtId="168" fontId="28" fillId="0" borderId="25" xfId="41" applyNumberFormat="1" applyFont="1" applyFill="1" applyBorder="1" applyAlignment="1" applyProtection="1">
      <alignment horizontal="center" vertical="center"/>
    </xf>
    <xf numFmtId="0" fontId="28" fillId="0" borderId="22" xfId="40" applyNumberFormat="1" applyFont="1" applyFill="1" applyBorder="1" applyAlignment="1" applyProtection="1">
      <alignment horizontal="center" vertical="center"/>
    </xf>
    <xf numFmtId="168" fontId="28" fillId="0" borderId="21" xfId="41" applyNumberFormat="1" applyFont="1" applyFill="1" applyBorder="1" applyAlignment="1" applyProtection="1">
      <alignment horizontal="center" vertical="center"/>
    </xf>
    <xf numFmtId="0" fontId="28" fillId="0" borderId="27" xfId="40" applyNumberFormat="1" applyFont="1" applyFill="1" applyBorder="1" applyAlignment="1" applyProtection="1">
      <alignment horizontal="center" vertical="center"/>
    </xf>
    <xf numFmtId="0" fontId="28" fillId="0" borderId="26" xfId="50" applyFont="1" applyFill="1" applyBorder="1" applyAlignment="1" applyProtection="1">
      <alignment horizontal="center" vertical="center"/>
    </xf>
    <xf numFmtId="0" fontId="38" fillId="0" borderId="0" xfId="0" applyFont="1" applyAlignment="1" applyProtection="1">
      <alignment horizontal="center" vertical="center"/>
      <protection locked="0"/>
    </xf>
    <xf numFmtId="49" fontId="28" fillId="0" borderId="0" xfId="0" applyNumberFormat="1" applyFont="1" applyAlignment="1" applyProtection="1">
      <alignment horizontal="center" vertical="center"/>
      <protection locked="0"/>
    </xf>
    <xf numFmtId="49" fontId="26" fillId="0" borderId="0" xfId="0" applyNumberFormat="1" applyFont="1" applyAlignment="1" applyProtection="1">
      <alignment horizontal="center" vertical="center"/>
      <protection locked="0"/>
    </xf>
    <xf numFmtId="164" fontId="28" fillId="0" borderId="22" xfId="0" applyNumberFormat="1" applyFont="1" applyBorder="1" applyAlignment="1">
      <alignment horizontal="center" vertical="center"/>
    </xf>
    <xf numFmtId="1" fontId="28" fillId="0" borderId="0" xfId="0" applyNumberFormat="1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49" fontId="28" fillId="0" borderId="0" xfId="0" applyNumberFormat="1" applyFont="1" applyAlignment="1" applyProtection="1">
      <alignment horizontal="left"/>
      <protection locked="0"/>
    </xf>
    <xf numFmtId="49" fontId="26" fillId="0" borderId="0" xfId="0" applyNumberFormat="1" applyFont="1" applyAlignment="1" applyProtection="1">
      <alignment horizontal="center"/>
      <protection locked="0"/>
    </xf>
    <xf numFmtId="1" fontId="28" fillId="0" borderId="0" xfId="0" applyNumberFormat="1" applyFont="1" applyAlignment="1" applyProtection="1">
      <alignment horizontal="center"/>
      <protection locked="0"/>
    </xf>
    <xf numFmtId="0" fontId="28" fillId="0" borderId="18" xfId="50" applyFont="1" applyFill="1" applyBorder="1" applyAlignment="1" applyProtection="1">
      <alignment horizontal="center" vertical="center"/>
    </xf>
    <xf numFmtId="0" fontId="34" fillId="0" borderId="38" xfId="50" applyFont="1" applyFill="1" applyBorder="1" applyAlignment="1" applyProtection="1">
      <alignment horizontal="center" vertical="center"/>
    </xf>
    <xf numFmtId="168" fontId="34" fillId="0" borderId="26" xfId="41" applyNumberFormat="1" applyFont="1" applyFill="1" applyBorder="1" applyAlignment="1" applyProtection="1">
      <alignment horizontal="center" vertical="center"/>
    </xf>
    <xf numFmtId="0" fontId="34" fillId="0" borderId="41" xfId="50" applyFont="1" applyFill="1" applyBorder="1" applyAlignment="1" applyProtection="1">
      <alignment horizontal="center" vertical="center"/>
    </xf>
    <xf numFmtId="168" fontId="34" fillId="0" borderId="25" xfId="41" applyNumberFormat="1" applyFont="1" applyFill="1" applyBorder="1" applyAlignment="1" applyProtection="1">
      <alignment horizontal="center" vertical="center"/>
    </xf>
    <xf numFmtId="164" fontId="39" fillId="35" borderId="17" xfId="41" applyFont="1" applyFill="1" applyBorder="1" applyAlignment="1" applyProtection="1">
      <alignment horizontal="center" vertical="center"/>
    </xf>
    <xf numFmtId="164" fontId="39" fillId="35" borderId="18" xfId="41" applyFont="1" applyFill="1" applyBorder="1" applyAlignment="1" applyProtection="1">
      <alignment horizontal="center" vertical="center"/>
    </xf>
    <xf numFmtId="164" fontId="39" fillId="35" borderId="19" xfId="41" applyFont="1" applyFill="1" applyBorder="1" applyAlignment="1" applyProtection="1">
      <alignment horizontal="center" vertical="center"/>
    </xf>
    <xf numFmtId="164" fontId="39" fillId="35" borderId="35" xfId="41" applyFont="1" applyFill="1" applyBorder="1" applyAlignment="1" applyProtection="1">
      <alignment horizontal="center" vertical="center"/>
    </xf>
    <xf numFmtId="164" fontId="39" fillId="35" borderId="14" xfId="41" applyFont="1" applyFill="1" applyBorder="1" applyAlignment="1" applyProtection="1">
      <alignment horizontal="center" vertical="center"/>
    </xf>
    <xf numFmtId="164" fontId="39" fillId="35" borderId="37" xfId="41" applyFont="1" applyFill="1" applyBorder="1" applyAlignment="1" applyProtection="1">
      <alignment horizontal="center" vertical="center"/>
    </xf>
    <xf numFmtId="1" fontId="39" fillId="35" borderId="17" xfId="41" applyNumberFormat="1" applyFont="1" applyFill="1" applyBorder="1" applyAlignment="1" applyProtection="1">
      <alignment horizontal="center" vertical="center"/>
      <protection locked="0"/>
    </xf>
    <xf numFmtId="1" fontId="39" fillId="35" borderId="18" xfId="41" applyNumberFormat="1" applyFont="1" applyFill="1" applyBorder="1" applyAlignment="1" applyProtection="1">
      <alignment horizontal="center" vertical="center"/>
      <protection locked="0"/>
    </xf>
    <xf numFmtId="1" fontId="39" fillId="35" borderId="19" xfId="41" applyNumberFormat="1" applyFont="1" applyFill="1" applyBorder="1" applyAlignment="1" applyProtection="1">
      <alignment horizontal="center" vertical="center"/>
      <protection locked="0"/>
    </xf>
    <xf numFmtId="49" fontId="31" fillId="36" borderId="29" xfId="0" applyNumberFormat="1" applyFont="1" applyFill="1" applyBorder="1" applyAlignment="1" applyProtection="1">
      <alignment horizontal="center" vertical="center" wrapText="1"/>
      <protection locked="0"/>
    </xf>
    <xf numFmtId="0" fontId="31" fillId="36" borderId="29" xfId="0" applyFont="1" applyFill="1" applyBorder="1" applyAlignment="1" applyProtection="1">
      <alignment horizontal="center" vertical="center"/>
      <protection locked="0"/>
    </xf>
    <xf numFmtId="1" fontId="31" fillId="36" borderId="29" xfId="0" applyNumberFormat="1" applyFont="1" applyFill="1" applyBorder="1" applyAlignment="1" applyProtection="1">
      <alignment horizontal="center" vertical="center"/>
      <protection locked="0"/>
    </xf>
    <xf numFmtId="166" fontId="31" fillId="36" borderId="29" xfId="0" applyNumberFormat="1" applyFont="1" applyFill="1" applyBorder="1" applyAlignment="1" applyProtection="1">
      <alignment horizontal="center" vertical="center"/>
      <protection locked="0"/>
    </xf>
    <xf numFmtId="164" fontId="31" fillId="36" borderId="29" xfId="41" applyFont="1" applyFill="1" applyBorder="1" applyAlignment="1" applyProtection="1">
      <alignment horizontal="center" vertical="center"/>
      <protection locked="0"/>
    </xf>
    <xf numFmtId="1" fontId="31" fillId="36" borderId="29" xfId="41" applyNumberFormat="1" applyFont="1" applyFill="1" applyBorder="1" applyAlignment="1" applyProtection="1">
      <alignment horizontal="center" vertical="center"/>
      <protection locked="0"/>
    </xf>
    <xf numFmtId="164" fontId="28" fillId="35" borderId="24" xfId="41" applyFont="1" applyFill="1" applyBorder="1" applyAlignment="1" applyProtection="1">
      <alignment horizontal="center" vertical="center"/>
    </xf>
    <xf numFmtId="164" fontId="28" fillId="35" borderId="25" xfId="41" applyFont="1" applyFill="1" applyBorder="1" applyAlignment="1" applyProtection="1">
      <alignment horizontal="center" vertical="center"/>
    </xf>
    <xf numFmtId="0" fontId="28" fillId="0" borderId="18" xfId="0" applyFont="1" applyBorder="1" applyAlignment="1">
      <alignment horizontal="center" vertical="center"/>
    </xf>
    <xf numFmtId="49" fontId="28" fillId="0" borderId="18" xfId="65" applyNumberFormat="1" applyFont="1" applyBorder="1" applyAlignment="1">
      <alignment horizontal="center" vertical="center"/>
    </xf>
    <xf numFmtId="1" fontId="28" fillId="0" borderId="18" xfId="0" applyNumberFormat="1" applyFont="1" applyBorder="1" applyAlignment="1">
      <alignment horizontal="center" vertical="center"/>
    </xf>
    <xf numFmtId="0" fontId="28" fillId="0" borderId="18" xfId="65" applyFont="1" applyBorder="1" applyAlignment="1">
      <alignment horizontal="center" vertical="center"/>
    </xf>
    <xf numFmtId="49" fontId="28" fillId="0" borderId="18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49" fontId="34" fillId="0" borderId="17" xfId="41" applyNumberFormat="1" applyFont="1" applyFill="1" applyBorder="1" applyAlignment="1" applyProtection="1">
      <alignment horizontal="center" vertical="center"/>
    </xf>
    <xf numFmtId="1" fontId="34" fillId="0" borderId="17" xfId="0" applyNumberFormat="1" applyFont="1" applyBorder="1" applyAlignment="1">
      <alignment horizontal="center" vertical="center"/>
    </xf>
    <xf numFmtId="0" fontId="34" fillId="0" borderId="24" xfId="65" applyFont="1" applyBorder="1" applyAlignment="1">
      <alignment horizontal="center" vertical="center"/>
    </xf>
    <xf numFmtId="0" fontId="34" fillId="0" borderId="17" xfId="65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1" fontId="34" fillId="0" borderId="18" xfId="0" applyNumberFormat="1" applyFont="1" applyBorder="1" applyAlignment="1">
      <alignment horizontal="center" vertical="center"/>
    </xf>
    <xf numFmtId="0" fontId="34" fillId="0" borderId="26" xfId="65" applyFont="1" applyBorder="1" applyAlignment="1">
      <alignment horizontal="center" vertical="center"/>
    </xf>
    <xf numFmtId="0" fontId="34" fillId="0" borderId="18" xfId="65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27" xfId="65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" fontId="34" fillId="0" borderId="24" xfId="0" applyNumberFormat="1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1" fontId="34" fillId="0" borderId="26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49" fontId="28" fillId="0" borderId="30" xfId="0" quotePrefix="1" applyNumberFormat="1" applyFont="1" applyBorder="1" applyAlignment="1">
      <alignment horizontal="center" vertical="center"/>
    </xf>
    <xf numFmtId="1" fontId="28" fillId="0" borderId="28" xfId="0" quotePrefix="1" applyNumberFormat="1" applyFont="1" applyBorder="1" applyAlignment="1">
      <alignment horizontal="center" vertical="center"/>
    </xf>
    <xf numFmtId="1" fontId="28" fillId="0" borderId="28" xfId="0" applyNumberFormat="1" applyFont="1" applyBorder="1" applyAlignment="1">
      <alignment horizontal="center" vertical="center"/>
    </xf>
    <xf numFmtId="1" fontId="28" fillId="0" borderId="30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25" xfId="0" quotePrefix="1" applyNumberFormat="1" applyFont="1" applyBorder="1" applyAlignment="1">
      <alignment horizontal="center" vertical="center"/>
    </xf>
    <xf numFmtId="1" fontId="28" fillId="0" borderId="19" xfId="0" quotePrefix="1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49" fontId="28" fillId="0" borderId="26" xfId="0" quotePrefix="1" applyNumberFormat="1" applyFont="1" applyBorder="1" applyAlignment="1">
      <alignment horizontal="center" vertical="center"/>
    </xf>
    <xf numFmtId="1" fontId="28" fillId="0" borderId="18" xfId="0" quotePrefix="1" applyNumberFormat="1" applyFont="1" applyBorder="1" applyAlignment="1">
      <alignment horizontal="center" vertical="center"/>
    </xf>
    <xf numFmtId="1" fontId="28" fillId="0" borderId="34" xfId="0" applyNumberFormat="1" applyFont="1" applyBorder="1" applyAlignment="1">
      <alignment horizontal="center" vertical="center"/>
    </xf>
    <xf numFmtId="49" fontId="28" fillId="0" borderId="18" xfId="0" quotePrefix="1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49" fontId="28" fillId="0" borderId="17" xfId="0" quotePrefix="1" applyNumberFormat="1" applyFont="1" applyBorder="1" applyAlignment="1">
      <alignment horizontal="center" vertical="center"/>
    </xf>
    <xf numFmtId="1" fontId="28" fillId="0" borderId="17" xfId="0" quotePrefix="1" applyNumberFormat="1" applyFont="1" applyBorder="1" applyAlignment="1">
      <alignment horizontal="center" vertical="center"/>
    </xf>
    <xf numFmtId="1" fontId="28" fillId="0" borderId="1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 wrapText="1"/>
    </xf>
    <xf numFmtId="168" fontId="28" fillId="0" borderId="20" xfId="41" applyNumberFormat="1" applyFont="1" applyFill="1" applyBorder="1" applyAlignment="1" applyProtection="1">
      <alignment horizontal="center" vertical="center"/>
    </xf>
    <xf numFmtId="1" fontId="28" fillId="0" borderId="18" xfId="0" applyNumberFormat="1" applyFont="1" applyBorder="1" applyAlignment="1">
      <alignment horizontal="center" vertical="center" wrapText="1"/>
    </xf>
    <xf numFmtId="49" fontId="34" fillId="0" borderId="17" xfId="0" applyNumberFormat="1" applyFont="1" applyBorder="1" applyAlignment="1">
      <alignment horizontal="center" vertical="center"/>
    </xf>
    <xf numFmtId="1" fontId="34" fillId="0" borderId="17" xfId="0" applyNumberFormat="1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/>
    </xf>
    <xf numFmtId="49" fontId="34" fillId="0" borderId="18" xfId="0" applyNumberFormat="1" applyFont="1" applyBorder="1" applyAlignment="1">
      <alignment horizontal="center" vertical="center"/>
    </xf>
    <xf numFmtId="1" fontId="34" fillId="0" borderId="18" xfId="0" applyNumberFormat="1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49" fontId="28" fillId="0" borderId="17" xfId="51" applyNumberFormat="1" applyFont="1" applyBorder="1" applyAlignment="1">
      <alignment horizontal="center" vertical="center"/>
    </xf>
    <xf numFmtId="1" fontId="28" fillId="0" borderId="17" xfId="51" applyNumberFormat="1" applyFont="1" applyBorder="1" applyAlignment="1">
      <alignment horizontal="center" vertical="center"/>
    </xf>
    <xf numFmtId="49" fontId="28" fillId="0" borderId="18" xfId="51" applyNumberFormat="1" applyFont="1" applyBorder="1" applyAlignment="1">
      <alignment horizontal="center" vertical="center"/>
    </xf>
    <xf numFmtId="1" fontId="28" fillId="0" borderId="18" xfId="51" applyNumberFormat="1" applyFont="1" applyBorder="1" applyAlignment="1">
      <alignment horizontal="center" vertical="center"/>
    </xf>
    <xf numFmtId="49" fontId="28" fillId="0" borderId="19" xfId="51" applyNumberFormat="1" applyFont="1" applyBorder="1" applyAlignment="1">
      <alignment horizontal="center" vertical="center"/>
    </xf>
    <xf numFmtId="1" fontId="28" fillId="0" borderId="19" xfId="51" applyNumberFormat="1" applyFont="1" applyBorder="1" applyAlignment="1">
      <alignment horizontal="center" vertical="center"/>
    </xf>
    <xf numFmtId="49" fontId="28" fillId="0" borderId="22" xfId="51" applyNumberFormat="1" applyFont="1" applyBorder="1" applyAlignment="1">
      <alignment horizontal="center" vertical="center"/>
    </xf>
    <xf numFmtId="1" fontId="28" fillId="0" borderId="22" xfId="51" applyNumberFormat="1" applyFont="1" applyBorder="1" applyAlignment="1">
      <alignment horizontal="center" vertical="center"/>
    </xf>
    <xf numFmtId="49" fontId="28" fillId="0" borderId="27" xfId="51" applyNumberFormat="1" applyFont="1" applyBorder="1" applyAlignment="1">
      <alignment horizontal="center" vertical="center"/>
    </xf>
    <xf numFmtId="1" fontId="28" fillId="0" borderId="27" xfId="51" applyNumberFormat="1" applyFont="1" applyBorder="1" applyAlignment="1">
      <alignment horizontal="center" vertical="center"/>
    </xf>
    <xf numFmtId="49" fontId="28" fillId="0" borderId="18" xfId="66" applyNumberFormat="1" applyFont="1" applyBorder="1" applyAlignment="1">
      <alignment horizontal="center" vertical="center"/>
    </xf>
    <xf numFmtId="1" fontId="28" fillId="0" borderId="26" xfId="0" applyNumberFormat="1" applyFont="1" applyBorder="1" applyAlignment="1">
      <alignment horizontal="center" vertical="center"/>
    </xf>
    <xf numFmtId="0" fontId="28" fillId="0" borderId="18" xfId="51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49" fontId="34" fillId="0" borderId="18" xfId="66" applyNumberFormat="1" applyFont="1" applyBorder="1" applyAlignment="1">
      <alignment horizontal="center" vertical="center"/>
    </xf>
    <xf numFmtId="0" fontId="34" fillId="0" borderId="18" xfId="5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4" fillId="0" borderId="19" xfId="66" applyNumberFormat="1" applyFont="1" applyBorder="1" applyAlignment="1">
      <alignment horizontal="center" vertical="center"/>
    </xf>
    <xf numFmtId="1" fontId="34" fillId="0" borderId="25" xfId="0" applyNumberFormat="1" applyFont="1" applyBorder="1" applyAlignment="1">
      <alignment horizontal="center" vertical="center"/>
    </xf>
    <xf numFmtId="0" fontId="34" fillId="0" borderId="19" xfId="5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49" fontId="28" fillId="0" borderId="17" xfId="0" applyNumberFormat="1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49" fontId="28" fillId="0" borderId="17" xfId="41" applyNumberFormat="1" applyFont="1" applyFill="1" applyBorder="1" applyAlignment="1" applyProtection="1">
      <alignment horizontal="center" vertical="center"/>
    </xf>
    <xf numFmtId="0" fontId="28" fillId="0" borderId="17" xfId="65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49" fontId="28" fillId="0" borderId="28" xfId="41" applyNumberFormat="1" applyFont="1" applyFill="1" applyBorder="1" applyAlignment="1" applyProtection="1">
      <alignment horizontal="center" vertical="center"/>
    </xf>
    <xf numFmtId="0" fontId="28" fillId="0" borderId="28" xfId="65" applyFont="1" applyBorder="1" applyAlignment="1">
      <alignment horizontal="center" vertical="center"/>
    </xf>
    <xf numFmtId="168" fontId="28" fillId="0" borderId="28" xfId="41" applyNumberFormat="1" applyFont="1" applyFill="1" applyBorder="1" applyAlignment="1" applyProtection="1">
      <alignment horizontal="center" vertical="center"/>
    </xf>
    <xf numFmtId="49" fontId="34" fillId="0" borderId="19" xfId="41" applyNumberFormat="1" applyFont="1" applyFill="1" applyBorder="1" applyAlignment="1" applyProtection="1">
      <alignment horizontal="center" vertical="center"/>
    </xf>
    <xf numFmtId="1" fontId="34" fillId="0" borderId="19" xfId="0" applyNumberFormat="1" applyFont="1" applyBorder="1" applyAlignment="1">
      <alignment horizontal="center" vertical="center"/>
    </xf>
    <xf numFmtId="0" fontId="34" fillId="0" borderId="25" xfId="65" applyFont="1" applyBorder="1" applyAlignment="1">
      <alignment horizontal="center" vertical="center"/>
    </xf>
    <xf numFmtId="0" fontId="34" fillId="0" borderId="19" xfId="65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68" fontId="34" fillId="0" borderId="19" xfId="41" applyNumberFormat="1" applyFont="1" applyFill="1" applyBorder="1" applyAlignment="1" applyProtection="1">
      <alignment horizontal="center" vertical="center"/>
    </xf>
    <xf numFmtId="0" fontId="28" fillId="0" borderId="36" xfId="0" applyFont="1" applyBorder="1" applyAlignment="1">
      <alignment horizontal="center" vertical="center"/>
    </xf>
    <xf numFmtId="168" fontId="28" fillId="0" borderId="40" xfId="41" applyNumberFormat="1" applyFont="1" applyFill="1" applyBorder="1" applyAlignment="1" applyProtection="1">
      <alignment horizontal="center" vertical="center"/>
    </xf>
    <xf numFmtId="49" fontId="28" fillId="0" borderId="27" xfId="0" quotePrefix="1" applyNumberFormat="1" applyFont="1" applyBorder="1" applyAlignment="1">
      <alignment horizontal="center" vertical="center"/>
    </xf>
    <xf numFmtId="1" fontId="28" fillId="0" borderId="27" xfId="0" quotePrefix="1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49" fontId="28" fillId="0" borderId="19" xfId="0" quotePrefix="1" applyNumberFormat="1" applyFont="1" applyBorder="1" applyAlignment="1">
      <alignment horizontal="center" vertical="center"/>
    </xf>
    <xf numFmtId="1" fontId="28" fillId="0" borderId="17" xfId="0" applyNumberFormat="1" applyFont="1" applyBorder="1" applyAlignment="1">
      <alignment horizontal="center" vertical="center" wrapText="1"/>
    </xf>
    <xf numFmtId="49" fontId="34" fillId="0" borderId="19" xfId="0" applyNumberFormat="1" applyFont="1" applyBorder="1" applyAlignment="1">
      <alignment horizontal="center" vertical="center"/>
    </xf>
    <xf numFmtId="1" fontId="34" fillId="0" borderId="19" xfId="0" applyNumberFormat="1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8" fontId="28" fillId="0" borderId="26" xfId="0" applyNumberFormat="1" applyFont="1" applyBorder="1" applyAlignment="1">
      <alignment horizontal="center" vertical="center"/>
    </xf>
    <xf numFmtId="49" fontId="28" fillId="0" borderId="17" xfId="66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17" xfId="51" applyFont="1" applyBorder="1" applyAlignment="1">
      <alignment horizontal="center" vertical="center"/>
    </xf>
    <xf numFmtId="0" fontId="28" fillId="0" borderId="24" xfId="50" applyFont="1" applyFill="1" applyBorder="1" applyAlignment="1" applyProtection="1">
      <alignment horizontal="center" vertical="center"/>
    </xf>
    <xf numFmtId="0" fontId="28" fillId="0" borderId="24" xfId="0" applyFont="1" applyBorder="1" applyAlignment="1">
      <alignment horizontal="center" vertical="center"/>
    </xf>
    <xf numFmtId="168" fontId="28" fillId="0" borderId="17" xfId="41" applyNumberFormat="1" applyFont="1" applyFill="1" applyBorder="1" applyAlignment="1" applyProtection="1">
      <alignment horizontal="center" vertical="center"/>
    </xf>
    <xf numFmtId="0" fontId="28" fillId="0" borderId="26" xfId="40" applyNumberFormat="1" applyFont="1" applyFill="1" applyBorder="1" applyAlignment="1" applyProtection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68" fontId="28" fillId="0" borderId="19" xfId="41" applyNumberFormat="1" applyFont="1" applyFill="1" applyBorder="1" applyAlignment="1" applyProtection="1">
      <alignment horizontal="center" vertical="center"/>
    </xf>
    <xf numFmtId="0" fontId="34" fillId="0" borderId="23" xfId="0" applyFont="1" applyBorder="1" applyAlignment="1">
      <alignment horizontal="center" vertical="center"/>
    </xf>
    <xf numFmtId="49" fontId="34" fillId="0" borderId="17" xfId="66" applyNumberFormat="1" applyFont="1" applyBorder="1" applyAlignment="1">
      <alignment horizontal="center" vertical="center"/>
    </xf>
    <xf numFmtId="0" fontId="34" fillId="0" borderId="17" xfId="51" applyFont="1" applyBorder="1" applyAlignment="1">
      <alignment horizontal="center" vertical="center"/>
    </xf>
    <xf numFmtId="0" fontId="34" fillId="0" borderId="42" xfId="50" applyFont="1" applyFill="1" applyBorder="1" applyAlignment="1" applyProtection="1">
      <alignment horizontal="center" vertical="center"/>
    </xf>
    <xf numFmtId="168" fontId="34" fillId="0" borderId="24" xfId="41" applyNumberFormat="1" applyFont="1" applyFill="1" applyBorder="1" applyAlignment="1" applyProtection="1">
      <alignment horizontal="center" vertical="center"/>
    </xf>
    <xf numFmtId="49" fontId="28" fillId="0" borderId="28" xfId="0" applyNumberFormat="1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1" fontId="28" fillId="0" borderId="31" xfId="0" applyNumberFormat="1" applyFont="1" applyBorder="1" applyAlignment="1">
      <alignment horizontal="center" vertical="center"/>
    </xf>
    <xf numFmtId="1" fontId="28" fillId="35" borderId="31" xfId="41" applyNumberFormat="1" applyFont="1" applyFill="1" applyBorder="1" applyAlignment="1" applyProtection="1">
      <alignment horizontal="center" vertical="center"/>
      <protection locked="0"/>
    </xf>
    <xf numFmtId="164" fontId="28" fillId="35" borderId="15" xfId="41" applyFont="1" applyFill="1" applyBorder="1" applyAlignment="1" applyProtection="1">
      <alignment horizontal="center" vertical="center"/>
    </xf>
    <xf numFmtId="0" fontId="34" fillId="0" borderId="22" xfId="0" applyFont="1" applyBorder="1" applyAlignment="1">
      <alignment horizontal="center" vertical="center"/>
    </xf>
    <xf numFmtId="49" fontId="34" fillId="0" borderId="29" xfId="0" applyNumberFormat="1" applyFont="1" applyBorder="1" applyAlignment="1">
      <alignment horizontal="center" vertical="center"/>
    </xf>
    <xf numFmtId="1" fontId="34" fillId="0" borderId="29" xfId="0" applyNumberFormat="1" applyFont="1" applyBorder="1" applyAlignment="1">
      <alignment horizontal="center" vertical="center"/>
    </xf>
    <xf numFmtId="1" fontId="34" fillId="0" borderId="29" xfId="0" applyNumberFormat="1" applyFont="1" applyBorder="1" applyAlignment="1">
      <alignment horizontal="center" vertical="center" wrapText="1"/>
    </xf>
    <xf numFmtId="168" fontId="34" fillId="0" borderId="20" xfId="41" applyNumberFormat="1" applyFont="1" applyFill="1" applyBorder="1" applyAlignment="1" applyProtection="1">
      <alignment horizontal="center" vertical="center"/>
    </xf>
    <xf numFmtId="164" fontId="34" fillId="35" borderId="10" xfId="41" applyFont="1" applyFill="1" applyBorder="1" applyAlignment="1" applyProtection="1">
      <alignment horizontal="center" vertical="center"/>
    </xf>
    <xf numFmtId="1" fontId="34" fillId="35" borderId="29" xfId="41" applyNumberFormat="1" applyFont="1" applyFill="1" applyBorder="1" applyAlignment="1" applyProtection="1">
      <alignment horizontal="center" vertical="center"/>
      <protection locked="0"/>
    </xf>
    <xf numFmtId="164" fontId="34" fillId="35" borderId="12" xfId="41" applyFont="1" applyFill="1" applyBorder="1" applyAlignment="1" applyProtection="1">
      <alignment horizontal="center" vertical="center"/>
    </xf>
    <xf numFmtId="49" fontId="34" fillId="0" borderId="31" xfId="0" applyNumberFormat="1" applyFont="1" applyBorder="1" applyAlignment="1">
      <alignment horizontal="center" vertical="center"/>
    </xf>
    <xf numFmtId="1" fontId="34" fillId="0" borderId="31" xfId="0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1" fontId="34" fillId="0" borderId="31" xfId="0" applyNumberFormat="1" applyFont="1" applyBorder="1" applyAlignment="1">
      <alignment horizontal="center" vertical="center" wrapText="1"/>
    </xf>
    <xf numFmtId="49" fontId="34" fillId="0" borderId="27" xfId="41" applyNumberFormat="1" applyFont="1" applyFill="1" applyBorder="1" applyAlignment="1" applyProtection="1">
      <alignment horizontal="center" vertical="center"/>
    </xf>
    <xf numFmtId="1" fontId="34" fillId="0" borderId="27" xfId="0" applyNumberFormat="1" applyFont="1" applyBorder="1" applyAlignment="1">
      <alignment horizontal="center" vertical="center"/>
    </xf>
    <xf numFmtId="0" fontId="34" fillId="0" borderId="27" xfId="65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68" fontId="34" fillId="0" borderId="27" xfId="41" applyNumberFormat="1" applyFont="1" applyFill="1" applyBorder="1" applyAlignment="1" applyProtection="1">
      <alignment horizontal="center" vertical="center"/>
    </xf>
    <xf numFmtId="0" fontId="28" fillId="0" borderId="13" xfId="0" applyFont="1" applyBorder="1" applyAlignment="1">
      <alignment horizontal="center" vertical="center"/>
    </xf>
    <xf numFmtId="49" fontId="28" fillId="0" borderId="31" xfId="41" applyNumberFormat="1" applyFont="1" applyFill="1" applyBorder="1" applyAlignment="1" applyProtection="1">
      <alignment horizontal="center" vertical="center"/>
    </xf>
    <xf numFmtId="0" fontId="28" fillId="0" borderId="31" xfId="65" applyFont="1" applyBorder="1" applyAlignment="1">
      <alignment horizontal="center" vertical="center"/>
    </xf>
    <xf numFmtId="168" fontId="28" fillId="0" borderId="31" xfId="41" applyNumberFormat="1" applyFont="1" applyFill="1" applyBorder="1" applyAlignment="1" applyProtection="1">
      <alignment horizontal="center" vertical="center"/>
    </xf>
    <xf numFmtId="164" fontId="28" fillId="35" borderId="0" xfId="41" applyFont="1" applyFill="1" applyBorder="1" applyAlignment="1" applyProtection="1">
      <alignment horizontal="center" vertical="center"/>
    </xf>
    <xf numFmtId="0" fontId="34" fillId="0" borderId="10" xfId="0" applyFont="1" applyBorder="1" applyAlignment="1">
      <alignment horizontal="center" vertical="center"/>
    </xf>
    <xf numFmtId="49" fontId="34" fillId="0" borderId="29" xfId="41" applyNumberFormat="1" applyFont="1" applyFill="1" applyBorder="1" applyAlignment="1" applyProtection="1">
      <alignment horizontal="center" vertical="center"/>
    </xf>
    <xf numFmtId="0" fontId="34" fillId="0" borderId="29" xfId="65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168" fontId="34" fillId="0" borderId="29" xfId="41" applyNumberFormat="1" applyFont="1" applyFill="1" applyBorder="1" applyAlignment="1" applyProtection="1">
      <alignment horizontal="center" vertical="center"/>
    </xf>
    <xf numFmtId="164" fontId="34" fillId="35" borderId="11" xfId="41" applyFont="1" applyFill="1" applyBorder="1" applyAlignment="1" applyProtection="1">
      <alignment horizontal="center" vertical="center"/>
    </xf>
    <xf numFmtId="168" fontId="34" fillId="0" borderId="10" xfId="41" applyNumberFormat="1" applyFont="1" applyFill="1" applyBorder="1" applyAlignment="1" applyProtection="1">
      <alignment horizontal="center" vertical="center"/>
    </xf>
    <xf numFmtId="164" fontId="39" fillId="35" borderId="27" xfId="41" applyFont="1" applyFill="1" applyBorder="1" applyAlignment="1" applyProtection="1">
      <alignment horizontal="center" vertical="center"/>
    </xf>
    <xf numFmtId="1" fontId="39" fillId="35" borderId="27" xfId="41" applyNumberFormat="1" applyFont="1" applyFill="1" applyBorder="1" applyAlignment="1" applyProtection="1">
      <alignment horizontal="center" vertical="center"/>
      <protection locked="0"/>
    </xf>
    <xf numFmtId="49" fontId="34" fillId="0" borderId="28" xfId="41" applyNumberFormat="1" applyFont="1" applyFill="1" applyBorder="1" applyAlignment="1" applyProtection="1">
      <alignment horizontal="center" vertical="center"/>
    </xf>
    <xf numFmtId="1" fontId="34" fillId="0" borderId="28" xfId="0" applyNumberFormat="1" applyFont="1" applyBorder="1" applyAlignment="1">
      <alignment horizontal="center" vertical="center"/>
    </xf>
    <xf numFmtId="0" fontId="34" fillId="0" borderId="30" xfId="65" applyFont="1" applyBorder="1" applyAlignment="1">
      <alignment horizontal="center" vertical="center"/>
    </xf>
    <xf numFmtId="0" fontId="34" fillId="0" borderId="28" xfId="65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68" fontId="34" fillId="0" borderId="28" xfId="41" applyNumberFormat="1" applyFont="1" applyFill="1" applyBorder="1" applyAlignment="1" applyProtection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32" xfId="65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11" xfId="65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164" fontId="39" fillId="35" borderId="29" xfId="41" applyFont="1" applyFill="1" applyBorder="1" applyAlignment="1" applyProtection="1">
      <alignment horizontal="center" vertical="center"/>
    </xf>
    <xf numFmtId="1" fontId="39" fillId="35" borderId="29" xfId="41" applyNumberFormat="1" applyFont="1" applyFill="1" applyBorder="1" applyAlignment="1" applyProtection="1">
      <alignment horizontal="center" vertical="center"/>
      <protection locked="0"/>
    </xf>
    <xf numFmtId="49" fontId="28" fillId="0" borderId="27" xfId="66" applyNumberFormat="1" applyFont="1" applyBorder="1" applyAlignment="1">
      <alignment horizontal="center" vertical="center"/>
    </xf>
    <xf numFmtId="0" fontId="28" fillId="0" borderId="27" xfId="51" applyFont="1" applyBorder="1" applyAlignment="1">
      <alignment horizontal="center" vertical="center"/>
    </xf>
    <xf numFmtId="0" fontId="28" fillId="0" borderId="27" xfId="50" applyFont="1" applyFill="1" applyBorder="1" applyAlignment="1" applyProtection="1">
      <alignment horizontal="center" vertical="center"/>
    </xf>
    <xf numFmtId="49" fontId="34" fillId="0" borderId="29" xfId="66" applyNumberFormat="1" applyFont="1" applyBorder="1" applyAlignment="1">
      <alignment horizontal="center" vertical="center"/>
    </xf>
    <xf numFmtId="0" fontId="34" fillId="0" borderId="29" xfId="51" applyFont="1" applyBorder="1" applyAlignment="1">
      <alignment horizontal="center" vertical="center"/>
    </xf>
    <xf numFmtId="0" fontId="34" fillId="0" borderId="29" xfId="50" applyFont="1" applyFill="1" applyBorder="1" applyAlignment="1" applyProtection="1">
      <alignment horizontal="center" vertical="center"/>
    </xf>
    <xf numFmtId="168" fontId="34" fillId="0" borderId="11" xfId="41" applyNumberFormat="1" applyFont="1" applyFill="1" applyBorder="1" applyAlignment="1" applyProtection="1">
      <alignment horizontal="center" vertical="center"/>
    </xf>
    <xf numFmtId="49" fontId="34" fillId="0" borderId="27" xfId="51" applyNumberFormat="1" applyFont="1" applyBorder="1" applyAlignment="1">
      <alignment horizontal="center" vertical="center"/>
    </xf>
    <xf numFmtId="1" fontId="34" fillId="0" borderId="27" xfId="51" applyNumberFormat="1" applyFont="1" applyBorder="1" applyAlignment="1">
      <alignment horizontal="center" vertical="center"/>
    </xf>
    <xf numFmtId="0" fontId="34" fillId="0" borderId="27" xfId="40" applyNumberFormat="1" applyFont="1" applyFill="1" applyBorder="1" applyAlignment="1" applyProtection="1">
      <alignment horizontal="center" vertical="center"/>
    </xf>
    <xf numFmtId="168" fontId="34" fillId="0" borderId="32" xfId="41" applyNumberFormat="1" applyFont="1" applyFill="1" applyBorder="1" applyAlignment="1" applyProtection="1">
      <alignment horizontal="center" vertical="center"/>
    </xf>
    <xf numFmtId="49" fontId="28" fillId="0" borderId="28" xfId="51" applyNumberFormat="1" applyFont="1" applyBorder="1" applyAlignment="1">
      <alignment horizontal="center" vertical="center"/>
    </xf>
    <xf numFmtId="1" fontId="28" fillId="0" borderId="28" xfId="51" applyNumberFormat="1" applyFont="1" applyBorder="1" applyAlignment="1">
      <alignment horizontal="center" vertical="center"/>
    </xf>
    <xf numFmtId="0" fontId="28" fillId="0" borderId="28" xfId="40" applyNumberFormat="1" applyFont="1" applyFill="1" applyBorder="1" applyAlignment="1" applyProtection="1">
      <alignment horizontal="center" vertical="center"/>
    </xf>
    <xf numFmtId="49" fontId="34" fillId="0" borderId="17" xfId="51" applyNumberFormat="1" applyFont="1" applyBorder="1" applyAlignment="1">
      <alignment horizontal="center" vertical="center"/>
    </xf>
    <xf numFmtId="1" fontId="34" fillId="0" borderId="17" xfId="51" applyNumberFormat="1" applyFont="1" applyBorder="1" applyAlignment="1">
      <alignment horizontal="center" vertical="center"/>
    </xf>
    <xf numFmtId="0" fontId="34" fillId="0" borderId="17" xfId="40" applyNumberFormat="1" applyFont="1" applyFill="1" applyBorder="1" applyAlignment="1" applyProtection="1">
      <alignment horizontal="center" vertical="center"/>
    </xf>
    <xf numFmtId="49" fontId="34" fillId="0" borderId="22" xfId="51" applyNumberFormat="1" applyFont="1" applyBorder="1" applyAlignment="1">
      <alignment horizontal="center" vertical="center"/>
    </xf>
    <xf numFmtId="1" fontId="34" fillId="0" borderId="22" xfId="51" applyNumberFormat="1" applyFont="1" applyBorder="1" applyAlignment="1">
      <alignment horizontal="center" vertical="center"/>
    </xf>
    <xf numFmtId="0" fontId="34" fillId="0" borderId="22" xfId="40" applyNumberFormat="1" applyFont="1" applyFill="1" applyBorder="1" applyAlignment="1" applyProtection="1">
      <alignment horizontal="center" vertical="center"/>
    </xf>
    <xf numFmtId="164" fontId="34" fillId="35" borderId="37" xfId="41" applyFont="1" applyFill="1" applyBorder="1" applyAlignment="1" applyProtection="1">
      <alignment horizontal="center" vertical="center"/>
    </xf>
    <xf numFmtId="49" fontId="34" fillId="0" borderId="18" xfId="51" applyNumberFormat="1" applyFont="1" applyBorder="1" applyAlignment="1">
      <alignment horizontal="center" vertical="center"/>
    </xf>
    <xf numFmtId="1" fontId="34" fillId="0" borderId="18" xfId="51" applyNumberFormat="1" applyFont="1" applyBorder="1" applyAlignment="1">
      <alignment horizontal="center" vertical="center"/>
    </xf>
    <xf numFmtId="0" fontId="34" fillId="0" borderId="18" xfId="40" applyNumberFormat="1" applyFont="1" applyFill="1" applyBorder="1" applyAlignment="1" applyProtection="1">
      <alignment horizontal="center" vertical="center"/>
    </xf>
    <xf numFmtId="164" fontId="34" fillId="35" borderId="35" xfId="41" applyFont="1" applyFill="1" applyBorder="1" applyAlignment="1" applyProtection="1">
      <alignment horizontal="center" vertical="center"/>
    </xf>
    <xf numFmtId="164" fontId="34" fillId="35" borderId="40" xfId="41" applyFont="1" applyFill="1" applyBorder="1" applyAlignment="1" applyProtection="1">
      <alignment horizontal="center" vertical="center"/>
    </xf>
    <xf numFmtId="1" fontId="34" fillId="35" borderId="27" xfId="41" applyNumberFormat="1" applyFont="1" applyFill="1" applyBorder="1" applyAlignment="1" applyProtection="1">
      <alignment horizontal="center" vertical="center"/>
      <protection locked="0"/>
    </xf>
    <xf numFmtId="164" fontId="34" fillId="35" borderId="15" xfId="41" applyFont="1" applyFill="1" applyBorder="1" applyAlignment="1" applyProtection="1">
      <alignment horizontal="center" vertical="center"/>
    </xf>
    <xf numFmtId="164" fontId="28" fillId="35" borderId="14" xfId="41" applyFont="1" applyFill="1" applyBorder="1" applyAlignment="1" applyProtection="1">
      <alignment horizontal="center" vertical="center"/>
    </xf>
    <xf numFmtId="49" fontId="28" fillId="0" borderId="31" xfId="0" applyNumberFormat="1" applyFont="1" applyBorder="1" applyAlignment="1">
      <alignment horizontal="center" vertical="center"/>
    </xf>
    <xf numFmtId="168" fontId="28" fillId="0" borderId="0" xfId="41" applyNumberFormat="1" applyFont="1" applyFill="1" applyBorder="1" applyAlignment="1" applyProtection="1">
      <alignment horizontal="center" vertical="center"/>
    </xf>
    <xf numFmtId="49" fontId="34" fillId="0" borderId="31" xfId="66" applyNumberFormat="1" applyFont="1" applyBorder="1" applyAlignment="1">
      <alignment horizontal="center" vertical="center"/>
    </xf>
    <xf numFmtId="0" fontId="34" fillId="0" borderId="31" xfId="51" applyFont="1" applyBorder="1" applyAlignment="1">
      <alignment horizontal="center" vertical="center"/>
    </xf>
    <xf numFmtId="0" fontId="34" fillId="0" borderId="31" xfId="50" applyFont="1" applyFill="1" applyBorder="1" applyAlignment="1" applyProtection="1">
      <alignment horizontal="center" vertical="center"/>
    </xf>
    <xf numFmtId="168" fontId="34" fillId="0" borderId="0" xfId="41" applyNumberFormat="1" applyFont="1" applyFill="1" applyBorder="1" applyAlignment="1" applyProtection="1">
      <alignment horizontal="center" vertical="center"/>
    </xf>
    <xf numFmtId="164" fontId="34" fillId="35" borderId="13" xfId="41" applyFont="1" applyFill="1" applyBorder="1" applyAlignment="1" applyProtection="1">
      <alignment horizontal="center" vertical="center"/>
    </xf>
    <xf numFmtId="1" fontId="34" fillId="35" borderId="31" xfId="41" applyNumberFormat="1" applyFont="1" applyFill="1" applyBorder="1" applyAlignment="1" applyProtection="1">
      <alignment horizontal="center" vertical="center"/>
      <protection locked="0"/>
    </xf>
    <xf numFmtId="49" fontId="28" fillId="0" borderId="19" xfId="66" applyNumberFormat="1" applyFont="1" applyBorder="1" applyAlignment="1">
      <alignment horizontal="center" vertical="center"/>
    </xf>
    <xf numFmtId="0" fontId="28" fillId="0" borderId="19" xfId="51" applyFont="1" applyBorder="1" applyAlignment="1">
      <alignment horizontal="center" vertical="center"/>
    </xf>
    <xf numFmtId="0" fontId="28" fillId="0" borderId="19" xfId="50" applyFont="1" applyFill="1" applyBorder="1" applyAlignment="1" applyProtection="1">
      <alignment horizontal="center" vertical="center"/>
    </xf>
    <xf numFmtId="0" fontId="30" fillId="0" borderId="10" xfId="0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 applyProtection="1">
      <alignment horizontal="center" vertical="center"/>
      <protection locked="0"/>
    </xf>
    <xf numFmtId="0" fontId="30" fillId="0" borderId="12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26" fillId="34" borderId="14" xfId="0" applyFont="1" applyFill="1" applyBorder="1" applyAlignment="1" applyProtection="1">
      <alignment horizontal="center" vertical="center" textRotation="90" wrapText="1"/>
      <protection locked="0"/>
    </xf>
    <xf numFmtId="0" fontId="26" fillId="34" borderId="15" xfId="0" applyFont="1" applyFill="1" applyBorder="1" applyAlignment="1" applyProtection="1">
      <alignment horizontal="center" vertical="center" textRotation="90" wrapText="1"/>
      <protection locked="0"/>
    </xf>
    <xf numFmtId="49" fontId="27" fillId="33" borderId="10" xfId="0" applyNumberFormat="1" applyFont="1" applyFill="1" applyBorder="1" applyAlignment="1" applyProtection="1">
      <alignment horizontal="center" vertical="center"/>
      <protection locked="0"/>
    </xf>
    <xf numFmtId="49" fontId="27" fillId="33" borderId="11" xfId="0" applyNumberFormat="1" applyFont="1" applyFill="1" applyBorder="1" applyAlignment="1" applyProtection="1">
      <alignment horizontal="center" vertical="center"/>
      <protection locked="0"/>
    </xf>
    <xf numFmtId="49" fontId="27" fillId="33" borderId="12" xfId="0" applyNumberFormat="1" applyFont="1" applyFill="1" applyBorder="1" applyAlignment="1" applyProtection="1">
      <alignment horizontal="center" vertical="center"/>
      <protection locked="0"/>
    </xf>
    <xf numFmtId="37" fontId="29" fillId="0" borderId="10" xfId="0" applyNumberFormat="1" applyFont="1" applyBorder="1" applyAlignment="1" applyProtection="1">
      <alignment horizontal="center" vertical="center"/>
      <protection locked="0"/>
    </xf>
    <xf numFmtId="37" fontId="29" fillId="0" borderId="11" xfId="0" applyNumberFormat="1" applyFont="1" applyBorder="1" applyAlignment="1" applyProtection="1">
      <alignment horizontal="center" vertical="center"/>
      <protection locked="0"/>
    </xf>
    <xf numFmtId="37" fontId="29" fillId="0" borderId="12" xfId="0" applyNumberFormat="1" applyFont="1" applyBorder="1" applyAlignment="1" applyProtection="1">
      <alignment horizontal="center" vertical="center"/>
      <protection locked="0"/>
    </xf>
    <xf numFmtId="167" fontId="29" fillId="0" borderId="10" xfId="0" applyNumberFormat="1" applyFont="1" applyBorder="1" applyAlignment="1" applyProtection="1">
      <alignment horizontal="center"/>
      <protection locked="0"/>
    </xf>
    <xf numFmtId="167" fontId="29" fillId="0" borderId="11" xfId="0" applyNumberFormat="1" applyFont="1" applyBorder="1" applyAlignment="1" applyProtection="1">
      <alignment horizontal="center"/>
      <protection locked="0"/>
    </xf>
  </cellXfs>
  <cellStyles count="70">
    <cellStyle name="20% - Accent1 2" xfId="2" xr:uid="{00000000-0005-0000-0000-000001000000}"/>
    <cellStyle name="20% - Accent2 2" xfId="4" xr:uid="{00000000-0005-0000-0000-000003000000}"/>
    <cellStyle name="20% - Accent3 2" xfId="6" xr:uid="{00000000-0005-0000-0000-000005000000}"/>
    <cellStyle name="20% - Accent4 2" xfId="8" xr:uid="{00000000-0005-0000-0000-000007000000}"/>
    <cellStyle name="20% - Accent5 2" xfId="10" xr:uid="{00000000-0005-0000-0000-000009000000}"/>
    <cellStyle name="20% - Accent6 2" xfId="12" xr:uid="{00000000-0005-0000-0000-00000B000000}"/>
    <cellStyle name="20% - Énfasis1" xfId="1" builtinId="30" customBuiltin="1"/>
    <cellStyle name="20% - Énfasis2" xfId="3" builtinId="34" customBuiltin="1"/>
    <cellStyle name="20% - Énfasis3" xfId="5" builtinId="38" customBuiltin="1"/>
    <cellStyle name="20% - Énfasis4" xfId="7" builtinId="42" customBuiltin="1"/>
    <cellStyle name="20% - Énfasis5" xfId="9" builtinId="46" customBuiltin="1"/>
    <cellStyle name="20% - Énfasis6" xfId="11" builtinId="50" customBuiltin="1"/>
    <cellStyle name="40% - Accent1 2" xfId="14" xr:uid="{00000000-0005-0000-0000-00000D000000}"/>
    <cellStyle name="40% - Accent2 2" xfId="16" xr:uid="{00000000-0005-0000-0000-00000F000000}"/>
    <cellStyle name="40% - Accent3 2" xfId="18" xr:uid="{00000000-0005-0000-0000-000011000000}"/>
    <cellStyle name="40% - Accent4 2" xfId="20" xr:uid="{00000000-0005-0000-0000-000013000000}"/>
    <cellStyle name="40% - Accent5 2" xfId="22" xr:uid="{00000000-0005-0000-0000-000015000000}"/>
    <cellStyle name="40% - Accent6 2" xfId="24" xr:uid="{00000000-0005-0000-0000-000017000000}"/>
    <cellStyle name="40% - Énfasis1" xfId="13" builtinId="31" customBuiltin="1"/>
    <cellStyle name="40% - Énfasis2" xfId="15" builtinId="35" customBuiltin="1"/>
    <cellStyle name="40% - Énfasis3" xfId="17" builtinId="39" customBuiltin="1"/>
    <cellStyle name="40% - Énfasis4" xfId="19" builtinId="43" customBuiltin="1"/>
    <cellStyle name="40% - Énfasis5" xfId="21" builtinId="47" customBuiltin="1"/>
    <cellStyle name="40% - Énfasis6" xfId="23" builtinId="51" customBuiltin="1"/>
    <cellStyle name="60% - Énfasis1" xfId="25" builtinId="32" customBuiltin="1"/>
    <cellStyle name="60% - Énfasis2" xfId="26" builtinId="36" customBuiltin="1"/>
    <cellStyle name="60% - Énfasis3" xfId="27" builtinId="40" customBuiltin="1"/>
    <cellStyle name="60% - Énfasis4" xfId="28" builtinId="44" customBuiltin="1"/>
    <cellStyle name="60% - Énfasis5" xfId="29" builtinId="48" customBuiltin="1"/>
    <cellStyle name="60% - Énfasis6" xfId="30" builtinId="52" customBuiltin="1"/>
    <cellStyle name="Bueno" xfId="43" builtinId="26" customBuiltin="1"/>
    <cellStyle name="Cálculo" xfId="38" builtinId="22" customBuiltin="1"/>
    <cellStyle name="Celda de comprobación" xfId="39" builtinId="23" customBuiltin="1"/>
    <cellStyle name="Celda vinculada" xfId="49" builtinId="24" customBuiltin="1"/>
    <cellStyle name="Currency 2" xfId="62" xr:uid="{00000000-0005-0000-0000-000029000000}"/>
    <cellStyle name="Encabezado 1" xfId="44" builtinId="16" customBuiltin="1"/>
    <cellStyle name="Encabezado 4" xfId="47" builtinId="19" customBuiltin="1"/>
    <cellStyle name="Énfasis1" xfId="31" builtinId="29" customBuiltin="1"/>
    <cellStyle name="Énfasis2" xfId="32" builtinId="33" customBuiltin="1"/>
    <cellStyle name="Énfasis3" xfId="33" builtinId="37" customBuiltin="1"/>
    <cellStyle name="Énfasis4" xfId="34" builtinId="41" customBuiltin="1"/>
    <cellStyle name="Énfasis5" xfId="35" builtinId="45" customBuiltin="1"/>
    <cellStyle name="Énfasis6" xfId="36" builtinId="49" customBuiltin="1"/>
    <cellStyle name="Entrada" xfId="48" builtinId="20" customBuiltin="1"/>
    <cellStyle name="Incorrecto" xfId="37" builtinId="27" customBuiltin="1"/>
    <cellStyle name="Millares" xfId="40" builtinId="3"/>
    <cellStyle name="Moneda" xfId="41" builtinId="4"/>
    <cellStyle name="Neutral" xfId="50" builtinId="28" customBuiltin="1"/>
    <cellStyle name="Normal" xfId="0" builtinId="0"/>
    <cellStyle name="Normal 10" xfId="69" xr:uid="{172639F7-EFE0-4356-9ACB-C3FE4B167AE8}"/>
    <cellStyle name="Normal 2" xfId="51" xr:uid="{00000000-0005-0000-0000-000034000000}"/>
    <cellStyle name="Normal 2 2" xfId="52" xr:uid="{00000000-0005-0000-0000-000035000000}"/>
    <cellStyle name="Normal 2 2 2" xfId="64" xr:uid="{00000000-0005-0000-0000-000036000000}"/>
    <cellStyle name="Normal 3" xfId="53" xr:uid="{00000000-0005-0000-0000-000037000000}"/>
    <cellStyle name="Normal 3 2" xfId="65" xr:uid="{00000000-0005-0000-0000-000038000000}"/>
    <cellStyle name="Normal 4" xfId="61" xr:uid="{00000000-0005-0000-0000-000039000000}"/>
    <cellStyle name="Normal 4 2" xfId="66" xr:uid="{00000000-0005-0000-0000-00003A000000}"/>
    <cellStyle name="Normal 5" xfId="63" xr:uid="{00000000-0005-0000-0000-00003B000000}"/>
    <cellStyle name="Normal 5 2" xfId="67" xr:uid="{00000000-0005-0000-0000-00003C000000}"/>
    <cellStyle name="Normal 6" xfId="68" xr:uid="{00000000-0005-0000-0000-00003D000000}"/>
    <cellStyle name="Notas" xfId="54" builtinId="10" customBuiltin="1"/>
    <cellStyle name="Note 2" xfId="55" xr:uid="{00000000-0005-0000-0000-00003F000000}"/>
    <cellStyle name="Salida" xfId="56" builtinId="21" customBuiltin="1"/>
    <cellStyle name="Texto de advertencia" xfId="60" builtinId="11" customBuiltin="1"/>
    <cellStyle name="Texto explicativo" xfId="42" builtinId="53" customBuiltin="1"/>
    <cellStyle name="Title 2" xfId="58" xr:uid="{00000000-0005-0000-0000-000042000000}"/>
    <cellStyle name="Título" xfId="57" builtinId="15" customBuiltin="1"/>
    <cellStyle name="Título 2" xfId="45" builtinId="17" customBuiltin="1"/>
    <cellStyle name="Título 3" xfId="46" builtinId="18" customBuiltin="1"/>
    <cellStyle name="Total" xfId="59" builtinId="25" customBuiltin="1"/>
  </cellStyles>
  <dxfs count="1">
    <dxf>
      <fill>
        <patternFill>
          <bgColor rgb="FFF6D6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6D6EE"/>
      <color rgb="FFFFFF99"/>
      <color rgb="FFCCFFFF"/>
      <color rgb="FFD3E0B6"/>
      <color rgb="FF66FFFF"/>
      <color rgb="FFC0C0C0"/>
      <color rgb="FFCCECFF"/>
      <color rgb="FFCCFFCC"/>
      <color rgb="FF80808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305592</xdr:colOff>
      <xdr:row>0</xdr:row>
      <xdr:rowOff>122920</xdr:rowOff>
    </xdr:from>
    <xdr:to>
      <xdr:col>3</xdr:col>
      <xdr:colOff>3048000</xdr:colOff>
      <xdr:row>0</xdr:row>
      <xdr:rowOff>715668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23" t="23624" r="1343" b="26095"/>
        <a:stretch/>
      </xdr:blipFill>
      <xdr:spPr>
        <a:xfrm>
          <a:off x="940592" y="122920"/>
          <a:ext cx="5676108" cy="592748"/>
        </a:xfrm>
        <a:prstGeom prst="rect">
          <a:avLst/>
        </a:prstGeom>
        <a:solidFill>
          <a:srgbClr val="0070C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7"/>
  <sheetViews>
    <sheetView showGridLines="0" tabSelected="1" topLeftCell="B1" zoomScale="70" zoomScaleNormal="70" zoomScalePageLayoutView="55" workbookViewId="0">
      <selection activeCell="I12" sqref="I12"/>
    </sheetView>
  </sheetViews>
  <sheetFormatPr baseColWidth="10" defaultColWidth="34" defaultRowHeight="27.75" customHeight="1" x14ac:dyDescent="0.3"/>
  <cols>
    <col min="1" max="1" width="7.21875" style="2" bestFit="1" customWidth="1"/>
    <col min="2" max="2" width="22.21875" style="84" bestFit="1" customWidth="1"/>
    <col min="3" max="3" width="21.44140625" style="85" bestFit="1" customWidth="1"/>
    <col min="4" max="4" width="63.77734375" style="2" bestFit="1" customWidth="1"/>
    <col min="5" max="5" width="70.77734375" style="2" bestFit="1" customWidth="1"/>
    <col min="6" max="6" width="33.109375" style="2" bestFit="1" customWidth="1"/>
    <col min="7" max="7" width="22.33203125" style="2" bestFit="1" customWidth="1"/>
    <col min="8" max="8" width="27.33203125" style="82" bestFit="1" customWidth="1"/>
    <col min="9" max="9" width="26.88671875" style="2" bestFit="1" customWidth="1"/>
    <col min="10" max="10" width="22.33203125" style="82" bestFit="1" customWidth="1"/>
    <col min="11" max="11" width="18.77734375" style="86" bestFit="1" customWidth="1"/>
    <col min="12" max="12" width="23.77734375" style="82" bestFit="1" customWidth="1"/>
    <col min="13" max="16384" width="34" style="83"/>
  </cols>
  <sheetData>
    <row r="1" spans="1:12" s="1" customFormat="1" ht="60.75" customHeight="1" thickBot="1" x14ac:dyDescent="0.35">
      <c r="A1" s="327"/>
      <c r="B1" s="329" t="s">
        <v>604</v>
      </c>
      <c r="C1" s="330"/>
      <c r="D1" s="330"/>
      <c r="E1" s="330"/>
      <c r="F1" s="330"/>
      <c r="G1" s="330"/>
      <c r="H1" s="330"/>
      <c r="I1" s="330"/>
      <c r="J1" s="330"/>
      <c r="K1" s="330"/>
      <c r="L1" s="331"/>
    </row>
    <row r="2" spans="1:12" s="2" customFormat="1" ht="27.75" customHeight="1" thickBot="1" x14ac:dyDescent="0.35">
      <c r="A2" s="328"/>
      <c r="B2" s="3" t="s">
        <v>26</v>
      </c>
      <c r="C2" s="4"/>
      <c r="D2" s="332">
        <f>K216</f>
        <v>158</v>
      </c>
      <c r="E2" s="333"/>
      <c r="F2" s="334"/>
      <c r="G2" s="324"/>
      <c r="H2" s="325"/>
      <c r="I2" s="325"/>
      <c r="J2" s="325"/>
      <c r="K2" s="325"/>
      <c r="L2" s="326"/>
    </row>
    <row r="3" spans="1:12" s="2" customFormat="1" ht="27" customHeight="1" thickBot="1" x14ac:dyDescent="0.45">
      <c r="A3" s="328"/>
      <c r="B3" s="5" t="s">
        <v>125</v>
      </c>
      <c r="C3" s="6"/>
      <c r="D3" s="335">
        <f>L216</f>
        <v>3298.75</v>
      </c>
      <c r="E3" s="336"/>
      <c r="F3" s="336"/>
      <c r="G3" s="321" t="s">
        <v>549</v>
      </c>
      <c r="H3" s="322"/>
      <c r="I3" s="322"/>
      <c r="J3" s="322"/>
      <c r="K3" s="322"/>
      <c r="L3" s="323"/>
    </row>
    <row r="4" spans="1:12" s="7" customFormat="1" ht="27.75" customHeight="1" thickBot="1" x14ac:dyDescent="0.35">
      <c r="A4" s="328"/>
      <c r="B4" s="101" t="s">
        <v>105</v>
      </c>
      <c r="C4" s="101" t="s">
        <v>106</v>
      </c>
      <c r="D4" s="102" t="s">
        <v>25</v>
      </c>
      <c r="E4" s="103" t="s">
        <v>4</v>
      </c>
      <c r="F4" s="103" t="s">
        <v>23</v>
      </c>
      <c r="G4" s="103" t="s">
        <v>30</v>
      </c>
      <c r="H4" s="103" t="s">
        <v>107</v>
      </c>
      <c r="I4" s="104" t="s">
        <v>1</v>
      </c>
      <c r="J4" s="105" t="s">
        <v>27</v>
      </c>
      <c r="K4" s="106" t="s">
        <v>2</v>
      </c>
      <c r="L4" s="105" t="s">
        <v>24</v>
      </c>
    </row>
    <row r="5" spans="1:12" s="12" customFormat="1" ht="31.5" customHeight="1" x14ac:dyDescent="0.3">
      <c r="A5" s="109" t="s">
        <v>124</v>
      </c>
      <c r="B5" s="110" t="s">
        <v>121</v>
      </c>
      <c r="C5" s="113" t="s">
        <v>122</v>
      </c>
      <c r="D5" s="112" t="s">
        <v>174</v>
      </c>
      <c r="E5" s="112" t="s">
        <v>249</v>
      </c>
      <c r="F5" s="112" t="s">
        <v>14</v>
      </c>
      <c r="G5" s="13" t="s">
        <v>95</v>
      </c>
      <c r="H5" s="109" t="s">
        <v>109</v>
      </c>
      <c r="I5" s="14">
        <v>49.95</v>
      </c>
      <c r="J5" s="9">
        <v>16.25</v>
      </c>
      <c r="K5" s="10">
        <v>4</v>
      </c>
      <c r="L5" s="11">
        <f t="shared" ref="L5:L60" si="0">K5*J5</f>
        <v>65</v>
      </c>
    </row>
    <row r="6" spans="1:12" s="12" customFormat="1" ht="36.299999999999997" customHeight="1" x14ac:dyDescent="0.3">
      <c r="A6" s="109" t="s">
        <v>124</v>
      </c>
      <c r="B6" s="110" t="s">
        <v>96</v>
      </c>
      <c r="C6" s="111">
        <v>810067610032</v>
      </c>
      <c r="D6" s="112" t="s">
        <v>97</v>
      </c>
      <c r="E6" s="112" t="s">
        <v>11</v>
      </c>
      <c r="F6" s="112" t="s">
        <v>14</v>
      </c>
      <c r="G6" s="13" t="s">
        <v>95</v>
      </c>
      <c r="H6" s="109" t="s">
        <v>109</v>
      </c>
      <c r="I6" s="14">
        <v>49.95</v>
      </c>
      <c r="J6" s="9">
        <v>16.25</v>
      </c>
      <c r="K6" s="10"/>
      <c r="L6" s="11">
        <f t="shared" si="0"/>
        <v>0</v>
      </c>
    </row>
    <row r="7" spans="1:12" s="12" customFormat="1" ht="36.299999999999997" customHeight="1" x14ac:dyDescent="0.3">
      <c r="A7" s="109" t="s">
        <v>124</v>
      </c>
      <c r="B7" s="110" t="s">
        <v>93</v>
      </c>
      <c r="C7" s="111">
        <v>810067610018</v>
      </c>
      <c r="D7" s="112" t="s">
        <v>94</v>
      </c>
      <c r="E7" s="112" t="s">
        <v>12</v>
      </c>
      <c r="F7" s="112" t="s">
        <v>14</v>
      </c>
      <c r="G7" s="13" t="s">
        <v>95</v>
      </c>
      <c r="H7" s="109" t="s">
        <v>109</v>
      </c>
      <c r="I7" s="14">
        <v>49.95</v>
      </c>
      <c r="J7" s="9">
        <v>16.25</v>
      </c>
      <c r="K7" s="10">
        <v>4</v>
      </c>
      <c r="L7" s="11">
        <f t="shared" si="0"/>
        <v>65</v>
      </c>
    </row>
    <row r="8" spans="1:12" s="12" customFormat="1" ht="35.549999999999997" customHeight="1" x14ac:dyDescent="0.3">
      <c r="A8" s="109" t="s">
        <v>124</v>
      </c>
      <c r="B8" s="15" t="s">
        <v>238</v>
      </c>
      <c r="C8" s="111">
        <v>810067610919</v>
      </c>
      <c r="D8" s="16" t="s">
        <v>239</v>
      </c>
      <c r="E8" s="16" t="s">
        <v>242</v>
      </c>
      <c r="F8" s="16" t="s">
        <v>22</v>
      </c>
      <c r="G8" s="109" t="s">
        <v>28</v>
      </c>
      <c r="H8" s="109" t="s">
        <v>109</v>
      </c>
      <c r="I8" s="14">
        <v>99.95</v>
      </c>
      <c r="J8" s="9">
        <v>35.312499999999993</v>
      </c>
      <c r="K8" s="10"/>
      <c r="L8" s="11">
        <f t="shared" si="0"/>
        <v>0</v>
      </c>
    </row>
    <row r="9" spans="1:12" s="17" customFormat="1" ht="35.549999999999997" customHeight="1" x14ac:dyDescent="0.3">
      <c r="A9" s="109" t="s">
        <v>124</v>
      </c>
      <c r="B9" s="15" t="s">
        <v>245</v>
      </c>
      <c r="C9" s="111">
        <v>810067610926</v>
      </c>
      <c r="D9" s="16" t="s">
        <v>240</v>
      </c>
      <c r="E9" s="16" t="s">
        <v>243</v>
      </c>
      <c r="F9" s="16" t="s">
        <v>22</v>
      </c>
      <c r="G9" s="109" t="s">
        <v>28</v>
      </c>
      <c r="H9" s="109" t="s">
        <v>109</v>
      </c>
      <c r="I9" s="14">
        <v>99.95</v>
      </c>
      <c r="J9" s="9">
        <v>35.312499999999993</v>
      </c>
      <c r="K9" s="10"/>
      <c r="L9" s="11">
        <f t="shared" si="0"/>
        <v>0</v>
      </c>
    </row>
    <row r="10" spans="1:12" s="12" customFormat="1" ht="35.549999999999997" customHeight="1" x14ac:dyDescent="0.3">
      <c r="A10" s="109" t="s">
        <v>124</v>
      </c>
      <c r="B10" s="15" t="s">
        <v>246</v>
      </c>
      <c r="C10" s="111">
        <v>848869020803</v>
      </c>
      <c r="D10" s="16" t="s">
        <v>241</v>
      </c>
      <c r="E10" s="16" t="s">
        <v>244</v>
      </c>
      <c r="F10" s="16" t="s">
        <v>22</v>
      </c>
      <c r="G10" s="109" t="s">
        <v>28</v>
      </c>
      <c r="H10" s="109" t="s">
        <v>109</v>
      </c>
      <c r="I10" s="14">
        <v>99.95</v>
      </c>
      <c r="J10" s="9">
        <v>35.312499999999993</v>
      </c>
      <c r="K10" s="10"/>
      <c r="L10" s="11">
        <f t="shared" si="0"/>
        <v>0</v>
      </c>
    </row>
    <row r="11" spans="1:12" s="12" customFormat="1" ht="35.549999999999997" customHeight="1" x14ac:dyDescent="0.3">
      <c r="A11" s="109" t="s">
        <v>124</v>
      </c>
      <c r="B11" s="113" t="s">
        <v>50</v>
      </c>
      <c r="C11" s="111">
        <v>848869010668</v>
      </c>
      <c r="D11" s="109" t="s">
        <v>9</v>
      </c>
      <c r="E11" s="109" t="s">
        <v>3</v>
      </c>
      <c r="F11" s="109" t="s">
        <v>20</v>
      </c>
      <c r="G11" s="109" t="s">
        <v>28</v>
      </c>
      <c r="H11" s="109" t="s">
        <v>109</v>
      </c>
      <c r="I11" s="14">
        <v>99.95</v>
      </c>
      <c r="J11" s="9">
        <v>35.312499999999993</v>
      </c>
      <c r="K11" s="10"/>
      <c r="L11" s="11">
        <f t="shared" si="0"/>
        <v>0</v>
      </c>
    </row>
    <row r="12" spans="1:12" s="12" customFormat="1" ht="36.299999999999997" customHeight="1" x14ac:dyDescent="0.3">
      <c r="A12" s="109" t="s">
        <v>124</v>
      </c>
      <c r="B12" s="110" t="s">
        <v>71</v>
      </c>
      <c r="C12" s="111">
        <v>848869015434</v>
      </c>
      <c r="D12" s="112" t="s">
        <v>8</v>
      </c>
      <c r="E12" s="112" t="s">
        <v>69</v>
      </c>
      <c r="F12" s="112" t="s">
        <v>14</v>
      </c>
      <c r="G12" s="13" t="s">
        <v>28</v>
      </c>
      <c r="H12" s="109" t="s">
        <v>109</v>
      </c>
      <c r="I12" s="14">
        <v>69.95</v>
      </c>
      <c r="J12" s="9">
        <v>25</v>
      </c>
      <c r="K12" s="10"/>
      <c r="L12" s="11">
        <f t="shared" si="0"/>
        <v>0</v>
      </c>
    </row>
    <row r="13" spans="1:12" s="12" customFormat="1" ht="36.299999999999997" customHeight="1" x14ac:dyDescent="0.3">
      <c r="A13" s="109" t="s">
        <v>124</v>
      </c>
      <c r="B13" s="113" t="s">
        <v>49</v>
      </c>
      <c r="C13" s="111">
        <v>848869010279</v>
      </c>
      <c r="D13" s="109" t="s">
        <v>8</v>
      </c>
      <c r="E13" s="111" t="s">
        <v>31</v>
      </c>
      <c r="F13" s="111" t="s">
        <v>16</v>
      </c>
      <c r="G13" s="109" t="s">
        <v>28</v>
      </c>
      <c r="H13" s="109" t="s">
        <v>109</v>
      </c>
      <c r="I13" s="14">
        <v>89.95</v>
      </c>
      <c r="J13" s="9">
        <v>31.562499999999996</v>
      </c>
      <c r="K13" s="10"/>
      <c r="L13" s="11">
        <f t="shared" si="0"/>
        <v>0</v>
      </c>
    </row>
    <row r="14" spans="1:12" s="17" customFormat="1" ht="36.299999999999997" customHeight="1" thickBot="1" x14ac:dyDescent="0.35">
      <c r="A14" s="109" t="s">
        <v>124</v>
      </c>
      <c r="B14" s="113" t="s">
        <v>51</v>
      </c>
      <c r="C14" s="111">
        <v>848869010651</v>
      </c>
      <c r="D14" s="109" t="s">
        <v>10</v>
      </c>
      <c r="E14" s="109" t="s">
        <v>0</v>
      </c>
      <c r="F14" s="109" t="s">
        <v>21</v>
      </c>
      <c r="G14" s="109" t="s">
        <v>28</v>
      </c>
      <c r="H14" s="109" t="s">
        <v>109</v>
      </c>
      <c r="I14" s="14">
        <v>134.94999999999999</v>
      </c>
      <c r="J14" s="18">
        <v>46.562499999999993</v>
      </c>
      <c r="K14" s="19"/>
      <c r="L14" s="20">
        <f t="shared" si="0"/>
        <v>0</v>
      </c>
    </row>
    <row r="15" spans="1:12" s="12" customFormat="1" ht="36.299999999999997" customHeight="1" x14ac:dyDescent="0.3">
      <c r="A15" s="192" t="s">
        <v>124</v>
      </c>
      <c r="B15" s="193" t="s">
        <v>411</v>
      </c>
      <c r="C15" s="154">
        <v>848869029073</v>
      </c>
      <c r="D15" s="194" t="s">
        <v>424</v>
      </c>
      <c r="E15" s="194" t="s">
        <v>32</v>
      </c>
      <c r="F15" s="151" t="s">
        <v>18</v>
      </c>
      <c r="G15" s="151" t="s">
        <v>421</v>
      </c>
      <c r="H15" s="151" t="s">
        <v>109</v>
      </c>
      <c r="I15" s="21">
        <v>109.95</v>
      </c>
      <c r="J15" s="22">
        <v>39.0625</v>
      </c>
      <c r="K15" s="23"/>
      <c r="L15" s="24">
        <f t="shared" si="0"/>
        <v>0</v>
      </c>
    </row>
    <row r="16" spans="1:12" s="12" customFormat="1" ht="36.299999999999997" customHeight="1" x14ac:dyDescent="0.3">
      <c r="A16" s="114" t="s">
        <v>124</v>
      </c>
      <c r="B16" s="25" t="s">
        <v>414</v>
      </c>
      <c r="C16" s="111">
        <v>848869029134</v>
      </c>
      <c r="D16" s="112" t="s">
        <v>427</v>
      </c>
      <c r="E16" s="112" t="s">
        <v>103</v>
      </c>
      <c r="F16" s="109" t="s">
        <v>104</v>
      </c>
      <c r="G16" s="109" t="s">
        <v>421</v>
      </c>
      <c r="H16" s="109" t="s">
        <v>109</v>
      </c>
      <c r="I16" s="26">
        <v>134.94999999999999</v>
      </c>
      <c r="J16" s="9">
        <v>46.562499999999993</v>
      </c>
      <c r="K16" s="10"/>
      <c r="L16" s="11">
        <f t="shared" si="0"/>
        <v>0</v>
      </c>
    </row>
    <row r="17" spans="1:12" s="12" customFormat="1" ht="36.299999999999997" customHeight="1" x14ac:dyDescent="0.3">
      <c r="A17" s="114" t="s">
        <v>124</v>
      </c>
      <c r="B17" s="25" t="s">
        <v>413</v>
      </c>
      <c r="C17" s="111">
        <v>848869029127</v>
      </c>
      <c r="D17" s="112" t="s">
        <v>426</v>
      </c>
      <c r="E17" s="112" t="s">
        <v>3</v>
      </c>
      <c r="F17" s="109" t="s">
        <v>408</v>
      </c>
      <c r="G17" s="109" t="s">
        <v>421</v>
      </c>
      <c r="H17" s="109" t="s">
        <v>109</v>
      </c>
      <c r="I17" s="26">
        <v>134.94999999999999</v>
      </c>
      <c r="J17" s="9">
        <v>46.562499999999993</v>
      </c>
      <c r="K17" s="10"/>
      <c r="L17" s="11">
        <f t="shared" si="0"/>
        <v>0</v>
      </c>
    </row>
    <row r="18" spans="1:12" s="12" customFormat="1" ht="36.299999999999997" customHeight="1" thickBot="1" x14ac:dyDescent="0.35">
      <c r="A18" s="195" t="s">
        <v>124</v>
      </c>
      <c r="B18" s="196" t="s">
        <v>415</v>
      </c>
      <c r="C18" s="140">
        <v>848869029110</v>
      </c>
      <c r="D18" s="197" t="s">
        <v>428</v>
      </c>
      <c r="E18" s="197" t="s">
        <v>420</v>
      </c>
      <c r="F18" s="137" t="s">
        <v>104</v>
      </c>
      <c r="G18" s="137" t="s">
        <v>421</v>
      </c>
      <c r="H18" s="137" t="s">
        <v>109</v>
      </c>
      <c r="I18" s="46">
        <v>134.94999999999999</v>
      </c>
      <c r="J18" s="47">
        <v>46.562499999999993</v>
      </c>
      <c r="K18" s="33">
        <v>4</v>
      </c>
      <c r="L18" s="34">
        <f t="shared" si="0"/>
        <v>186.24999999999997</v>
      </c>
    </row>
    <row r="19" spans="1:12" s="37" customFormat="1" ht="36.299999999999997" customHeight="1" thickBot="1" x14ac:dyDescent="0.35">
      <c r="A19" s="259" t="s">
        <v>124</v>
      </c>
      <c r="B19" s="260" t="s">
        <v>563</v>
      </c>
      <c r="C19" s="239">
        <v>848869031991</v>
      </c>
      <c r="D19" s="261" t="s">
        <v>564</v>
      </c>
      <c r="E19" s="261" t="s">
        <v>562</v>
      </c>
      <c r="F19" s="262" t="s">
        <v>104</v>
      </c>
      <c r="G19" s="262" t="s">
        <v>421</v>
      </c>
      <c r="H19" s="262" t="s">
        <v>109</v>
      </c>
      <c r="I19" s="265">
        <v>134.94999999999999</v>
      </c>
      <c r="J19" s="264">
        <v>46.562499999999993</v>
      </c>
      <c r="K19" s="243"/>
      <c r="L19" s="60">
        <f t="shared" si="0"/>
        <v>0</v>
      </c>
    </row>
    <row r="20" spans="1:12" s="12" customFormat="1" ht="36.299999999999997" customHeight="1" x14ac:dyDescent="0.3">
      <c r="A20" s="128" t="s">
        <v>124</v>
      </c>
      <c r="B20" s="27" t="s">
        <v>409</v>
      </c>
      <c r="C20" s="129">
        <v>848869029080</v>
      </c>
      <c r="D20" s="130" t="s">
        <v>422</v>
      </c>
      <c r="E20" s="130" t="s">
        <v>429</v>
      </c>
      <c r="F20" s="131" t="s">
        <v>16</v>
      </c>
      <c r="G20" s="131" t="s">
        <v>421</v>
      </c>
      <c r="H20" s="131" t="s">
        <v>109</v>
      </c>
      <c r="I20" s="28">
        <v>99.95</v>
      </c>
      <c r="J20" s="29">
        <v>35.312499999999993</v>
      </c>
      <c r="K20" s="30">
        <v>4</v>
      </c>
      <c r="L20" s="236">
        <f t="shared" si="0"/>
        <v>141.24999999999997</v>
      </c>
    </row>
    <row r="21" spans="1:12" s="12" customFormat="1" ht="36.299999999999997" customHeight="1" x14ac:dyDescent="0.3">
      <c r="A21" s="114" t="s">
        <v>124</v>
      </c>
      <c r="B21" s="25" t="s">
        <v>410</v>
      </c>
      <c r="C21" s="111">
        <v>848869029103</v>
      </c>
      <c r="D21" s="112" t="s">
        <v>423</v>
      </c>
      <c r="E21" s="112" t="s">
        <v>364</v>
      </c>
      <c r="F21" s="109" t="s">
        <v>18</v>
      </c>
      <c r="G21" s="109" t="s">
        <v>421</v>
      </c>
      <c r="H21" s="109" t="s">
        <v>109</v>
      </c>
      <c r="I21" s="44">
        <v>109.95</v>
      </c>
      <c r="J21" s="32">
        <v>39.0625</v>
      </c>
      <c r="K21" s="10"/>
      <c r="L21" s="34">
        <f t="shared" si="0"/>
        <v>0</v>
      </c>
    </row>
    <row r="22" spans="1:12" s="12" customFormat="1" ht="36.299999999999997" customHeight="1" thickBot="1" x14ac:dyDescent="0.35">
      <c r="A22" s="195" t="s">
        <v>124</v>
      </c>
      <c r="B22" s="196" t="s">
        <v>412</v>
      </c>
      <c r="C22" s="140">
        <v>848869029097</v>
      </c>
      <c r="D22" s="197" t="s">
        <v>425</v>
      </c>
      <c r="E22" s="197" t="s">
        <v>31</v>
      </c>
      <c r="F22" s="137" t="s">
        <v>16</v>
      </c>
      <c r="G22" s="137" t="s">
        <v>421</v>
      </c>
      <c r="H22" s="137" t="s">
        <v>109</v>
      </c>
      <c r="I22" s="198">
        <v>99.95</v>
      </c>
      <c r="J22" s="108">
        <v>35.312499999999993</v>
      </c>
      <c r="K22" s="19">
        <v>4</v>
      </c>
      <c r="L22" s="20">
        <f t="shared" si="0"/>
        <v>141.24999999999997</v>
      </c>
    </row>
    <row r="23" spans="1:12" s="37" customFormat="1" ht="36.299999999999997" customHeight="1" x14ac:dyDescent="0.3">
      <c r="A23" s="115" t="s">
        <v>124</v>
      </c>
      <c r="B23" s="116" t="s">
        <v>480</v>
      </c>
      <c r="C23" s="117" t="s">
        <v>486</v>
      </c>
      <c r="D23" s="118" t="s">
        <v>492</v>
      </c>
      <c r="E23" s="119" t="s">
        <v>31</v>
      </c>
      <c r="F23" s="120" t="s">
        <v>16</v>
      </c>
      <c r="G23" s="120" t="s">
        <v>497</v>
      </c>
      <c r="H23" s="121" t="s">
        <v>109</v>
      </c>
      <c r="I23" s="61">
        <v>99.95</v>
      </c>
      <c r="J23" s="92">
        <v>35.312499999999993</v>
      </c>
      <c r="K23" s="98"/>
      <c r="L23" s="309">
        <f t="shared" si="0"/>
        <v>0</v>
      </c>
    </row>
    <row r="24" spans="1:12" s="37" customFormat="1" ht="36.299999999999997" customHeight="1" x14ac:dyDescent="0.3">
      <c r="A24" s="122" t="s">
        <v>124</v>
      </c>
      <c r="B24" s="38" t="s">
        <v>481</v>
      </c>
      <c r="C24" s="123" t="s">
        <v>487</v>
      </c>
      <c r="D24" s="124" t="s">
        <v>493</v>
      </c>
      <c r="E24" s="125" t="s">
        <v>32</v>
      </c>
      <c r="F24" s="126" t="s">
        <v>18</v>
      </c>
      <c r="G24" s="126" t="s">
        <v>497</v>
      </c>
      <c r="H24" s="127" t="s">
        <v>109</v>
      </c>
      <c r="I24" s="39">
        <v>109.95</v>
      </c>
      <c r="J24" s="93">
        <v>39.0625</v>
      </c>
      <c r="K24" s="99"/>
      <c r="L24" s="34">
        <f t="shared" si="0"/>
        <v>0</v>
      </c>
    </row>
    <row r="25" spans="1:12" s="37" customFormat="1" ht="36.299999999999997" customHeight="1" x14ac:dyDescent="0.3">
      <c r="A25" s="122" t="s">
        <v>124</v>
      </c>
      <c r="B25" s="38" t="s">
        <v>482</v>
      </c>
      <c r="C25" s="123" t="s">
        <v>488</v>
      </c>
      <c r="D25" s="124" t="s">
        <v>494</v>
      </c>
      <c r="E25" s="125" t="s">
        <v>61</v>
      </c>
      <c r="F25" s="126" t="s">
        <v>18</v>
      </c>
      <c r="G25" s="126" t="s">
        <v>497</v>
      </c>
      <c r="H25" s="127" t="s">
        <v>109</v>
      </c>
      <c r="I25" s="39">
        <v>109.95</v>
      </c>
      <c r="J25" s="93">
        <v>39.0625</v>
      </c>
      <c r="K25" s="99"/>
      <c r="L25" s="34">
        <f t="shared" si="0"/>
        <v>0</v>
      </c>
    </row>
    <row r="26" spans="1:12" s="37" customFormat="1" ht="36.299999999999997" customHeight="1" thickBot="1" x14ac:dyDescent="0.35">
      <c r="A26" s="122" t="s">
        <v>124</v>
      </c>
      <c r="B26" s="268" t="s">
        <v>483</v>
      </c>
      <c r="C26" s="269" t="s">
        <v>489</v>
      </c>
      <c r="D26" s="270" t="s">
        <v>495</v>
      </c>
      <c r="E26" s="271" t="s">
        <v>151</v>
      </c>
      <c r="F26" s="184" t="s">
        <v>104</v>
      </c>
      <c r="G26" s="184" t="s">
        <v>497</v>
      </c>
      <c r="H26" s="272" t="s">
        <v>109</v>
      </c>
      <c r="I26" s="273">
        <v>134.94999999999999</v>
      </c>
      <c r="J26" s="94">
        <v>46.562499999999993</v>
      </c>
      <c r="K26" s="100"/>
      <c r="L26" s="20">
        <f t="shared" si="0"/>
        <v>0</v>
      </c>
    </row>
    <row r="27" spans="1:12" s="37" customFormat="1" ht="36.299999999999997" customHeight="1" thickBot="1" x14ac:dyDescent="0.35">
      <c r="A27" s="259" t="s">
        <v>124</v>
      </c>
      <c r="B27" s="260" t="s">
        <v>560</v>
      </c>
      <c r="C27" s="239">
        <v>848869032004</v>
      </c>
      <c r="D27" s="277" t="s">
        <v>561</v>
      </c>
      <c r="E27" s="261" t="s">
        <v>562</v>
      </c>
      <c r="F27" s="262" t="s">
        <v>104</v>
      </c>
      <c r="G27" s="262" t="s">
        <v>497</v>
      </c>
      <c r="H27" s="278" t="s">
        <v>109</v>
      </c>
      <c r="I27" s="263">
        <v>134.94999999999999</v>
      </c>
      <c r="J27" s="279">
        <v>46.562499999999993</v>
      </c>
      <c r="K27" s="280"/>
      <c r="L27" s="60">
        <f t="shared" si="0"/>
        <v>0</v>
      </c>
    </row>
    <row r="28" spans="1:12" s="37" customFormat="1" ht="36.299999999999997" customHeight="1" x14ac:dyDescent="0.3">
      <c r="A28" s="274" t="s">
        <v>124</v>
      </c>
      <c r="B28" s="249" t="s">
        <v>484</v>
      </c>
      <c r="C28" s="250" t="s">
        <v>490</v>
      </c>
      <c r="D28" s="275" t="s">
        <v>496</v>
      </c>
      <c r="E28" s="251" t="s">
        <v>307</v>
      </c>
      <c r="F28" s="252" t="s">
        <v>18</v>
      </c>
      <c r="G28" s="252" t="s">
        <v>497</v>
      </c>
      <c r="H28" s="276" t="s">
        <v>109</v>
      </c>
      <c r="I28" s="253">
        <v>109.95</v>
      </c>
      <c r="J28" s="266">
        <v>39.0625</v>
      </c>
      <c r="K28" s="267"/>
      <c r="L28" s="236">
        <f t="shared" si="0"/>
        <v>0</v>
      </c>
    </row>
    <row r="29" spans="1:12" s="37" customFormat="1" ht="36.299999999999997" customHeight="1" thickBot="1" x14ac:dyDescent="0.35">
      <c r="A29" s="189" t="s">
        <v>124</v>
      </c>
      <c r="B29" s="199" t="s">
        <v>485</v>
      </c>
      <c r="C29" s="200" t="s">
        <v>491</v>
      </c>
      <c r="D29" s="201" t="s">
        <v>496</v>
      </c>
      <c r="E29" s="202" t="s">
        <v>3</v>
      </c>
      <c r="F29" s="185" t="s">
        <v>408</v>
      </c>
      <c r="G29" s="185" t="s">
        <v>497</v>
      </c>
      <c r="H29" s="203" t="s">
        <v>109</v>
      </c>
      <c r="I29" s="204">
        <v>134.94999999999999</v>
      </c>
      <c r="J29" s="94">
        <v>46.562499999999993</v>
      </c>
      <c r="K29" s="100"/>
      <c r="L29" s="20">
        <f t="shared" si="0"/>
        <v>0</v>
      </c>
    </row>
    <row r="30" spans="1:12" s="12" customFormat="1" ht="36.299999999999997" customHeight="1" thickBot="1" x14ac:dyDescent="0.35">
      <c r="A30" s="254" t="s">
        <v>124</v>
      </c>
      <c r="B30" s="255" t="s">
        <v>297</v>
      </c>
      <c r="C30" s="234" t="s">
        <v>301</v>
      </c>
      <c r="D30" s="256" t="s">
        <v>305</v>
      </c>
      <c r="E30" s="256" t="s">
        <v>31</v>
      </c>
      <c r="F30" s="209" t="s">
        <v>16</v>
      </c>
      <c r="G30" s="209" t="s">
        <v>309</v>
      </c>
      <c r="H30" s="209" t="s">
        <v>109</v>
      </c>
      <c r="I30" s="257">
        <v>99.95</v>
      </c>
      <c r="J30" s="258">
        <v>35.312499999999993</v>
      </c>
      <c r="K30" s="235">
        <v>4</v>
      </c>
      <c r="L30" s="236">
        <f t="shared" si="0"/>
        <v>141.24999999999997</v>
      </c>
    </row>
    <row r="31" spans="1:12" s="37" customFormat="1" ht="36.299999999999997" customHeight="1" thickBot="1" x14ac:dyDescent="0.35">
      <c r="A31" s="259" t="s">
        <v>124</v>
      </c>
      <c r="B31" s="260" t="s">
        <v>565</v>
      </c>
      <c r="C31" s="239">
        <v>848869029981</v>
      </c>
      <c r="D31" s="261" t="s">
        <v>566</v>
      </c>
      <c r="E31" s="261" t="s">
        <v>562</v>
      </c>
      <c r="F31" s="262" t="s">
        <v>104</v>
      </c>
      <c r="G31" s="262" t="s">
        <v>309</v>
      </c>
      <c r="H31" s="262" t="s">
        <v>109</v>
      </c>
      <c r="I31" s="263">
        <v>134.94999999999999</v>
      </c>
      <c r="J31" s="264">
        <v>46.562499999999993</v>
      </c>
      <c r="K31" s="243"/>
      <c r="L31" s="60">
        <f t="shared" si="0"/>
        <v>0</v>
      </c>
    </row>
    <row r="32" spans="1:12" s="12" customFormat="1" ht="36.299999999999997" customHeight="1" x14ac:dyDescent="0.3">
      <c r="A32" s="128" t="s">
        <v>124</v>
      </c>
      <c r="B32" s="27" t="s">
        <v>416</v>
      </c>
      <c r="C32" s="129">
        <v>848869029141</v>
      </c>
      <c r="D32" s="130" t="s">
        <v>418</v>
      </c>
      <c r="E32" s="130" t="s">
        <v>420</v>
      </c>
      <c r="F32" s="131" t="s">
        <v>104</v>
      </c>
      <c r="G32" s="131" t="s">
        <v>309</v>
      </c>
      <c r="H32" s="131" t="s">
        <v>109</v>
      </c>
      <c r="I32" s="28">
        <v>134.94999999999999</v>
      </c>
      <c r="J32" s="29">
        <v>46.562499999999993</v>
      </c>
      <c r="K32" s="30"/>
      <c r="L32" s="31">
        <f t="shared" si="0"/>
        <v>0</v>
      </c>
    </row>
    <row r="33" spans="1:12" s="12" customFormat="1" ht="36.299999999999997" customHeight="1" x14ac:dyDescent="0.3">
      <c r="A33" s="114" t="s">
        <v>124</v>
      </c>
      <c r="B33" s="25" t="s">
        <v>417</v>
      </c>
      <c r="C33" s="111">
        <v>848869029158</v>
      </c>
      <c r="D33" s="112" t="s">
        <v>419</v>
      </c>
      <c r="E33" s="112" t="s">
        <v>3</v>
      </c>
      <c r="F33" s="109" t="s">
        <v>408</v>
      </c>
      <c r="G33" s="109" t="s">
        <v>309</v>
      </c>
      <c r="H33" s="109" t="s">
        <v>109</v>
      </c>
      <c r="I33" s="44">
        <v>134.94999999999999</v>
      </c>
      <c r="J33" s="32">
        <v>46.562499999999993</v>
      </c>
      <c r="K33" s="10"/>
      <c r="L33" s="11">
        <f t="shared" si="0"/>
        <v>0</v>
      </c>
    </row>
    <row r="34" spans="1:12" s="12" customFormat="1" ht="36.299999999999997" customHeight="1" x14ac:dyDescent="0.3">
      <c r="A34" s="131" t="s">
        <v>124</v>
      </c>
      <c r="B34" s="27" t="s">
        <v>361</v>
      </c>
      <c r="C34" s="129">
        <v>848869027833</v>
      </c>
      <c r="D34" s="130" t="s">
        <v>365</v>
      </c>
      <c r="E34" s="130" t="s">
        <v>366</v>
      </c>
      <c r="F34" s="128" t="s">
        <v>18</v>
      </c>
      <c r="G34" s="131" t="s">
        <v>309</v>
      </c>
      <c r="H34" s="205" t="s">
        <v>109</v>
      </c>
      <c r="I34" s="206">
        <v>109.95</v>
      </c>
      <c r="J34" s="45">
        <v>39.0625</v>
      </c>
      <c r="K34" s="30"/>
      <c r="L34" s="31">
        <f t="shared" si="0"/>
        <v>0</v>
      </c>
    </row>
    <row r="35" spans="1:12" s="12" customFormat="1" ht="36.299999999999997" customHeight="1" x14ac:dyDescent="0.3">
      <c r="A35" s="109" t="s">
        <v>124</v>
      </c>
      <c r="B35" s="25" t="s">
        <v>362</v>
      </c>
      <c r="C35" s="111">
        <v>848869027840</v>
      </c>
      <c r="D35" s="112" t="s">
        <v>367</v>
      </c>
      <c r="E35" s="112" t="s">
        <v>32</v>
      </c>
      <c r="F35" s="114" t="s">
        <v>18</v>
      </c>
      <c r="G35" s="109" t="s">
        <v>309</v>
      </c>
      <c r="H35" s="132" t="s">
        <v>109</v>
      </c>
      <c r="I35" s="26">
        <v>109.95</v>
      </c>
      <c r="J35" s="9">
        <v>39.0625</v>
      </c>
      <c r="K35" s="10">
        <v>4</v>
      </c>
      <c r="L35" s="11">
        <f t="shared" si="0"/>
        <v>156.25</v>
      </c>
    </row>
    <row r="36" spans="1:12" s="12" customFormat="1" ht="36.299999999999997" customHeight="1" x14ac:dyDescent="0.3">
      <c r="A36" s="109" t="s">
        <v>124</v>
      </c>
      <c r="B36" s="25" t="s">
        <v>363</v>
      </c>
      <c r="C36" s="111">
        <v>848869027857</v>
      </c>
      <c r="D36" s="112" t="s">
        <v>368</v>
      </c>
      <c r="E36" s="112" t="s">
        <v>151</v>
      </c>
      <c r="F36" s="114" t="s">
        <v>104</v>
      </c>
      <c r="G36" s="109" t="s">
        <v>309</v>
      </c>
      <c r="H36" s="132" t="s">
        <v>109</v>
      </c>
      <c r="I36" s="26">
        <v>134.94999999999999</v>
      </c>
      <c r="J36" s="9">
        <v>46.562499999999993</v>
      </c>
      <c r="K36" s="10"/>
      <c r="L36" s="11">
        <f t="shared" si="0"/>
        <v>0</v>
      </c>
    </row>
    <row r="37" spans="1:12" s="12" customFormat="1" ht="36.299999999999997" customHeight="1" x14ac:dyDescent="0.3">
      <c r="A37" s="109" t="s">
        <v>124</v>
      </c>
      <c r="B37" s="25" t="s">
        <v>295</v>
      </c>
      <c r="C37" s="111" t="s">
        <v>299</v>
      </c>
      <c r="D37" s="112" t="s">
        <v>303</v>
      </c>
      <c r="E37" s="112" t="s">
        <v>307</v>
      </c>
      <c r="F37" s="114" t="s">
        <v>18</v>
      </c>
      <c r="G37" s="109" t="s">
        <v>309</v>
      </c>
      <c r="H37" s="132" t="s">
        <v>109</v>
      </c>
      <c r="I37" s="26">
        <v>109.95</v>
      </c>
      <c r="J37" s="9">
        <v>39.0625</v>
      </c>
      <c r="K37" s="10">
        <v>2</v>
      </c>
      <c r="L37" s="11">
        <f t="shared" si="0"/>
        <v>78.125</v>
      </c>
    </row>
    <row r="38" spans="1:12" s="12" customFormat="1" ht="36.299999999999997" customHeight="1" x14ac:dyDescent="0.3">
      <c r="A38" s="109" t="s">
        <v>124</v>
      </c>
      <c r="B38" s="25" t="s">
        <v>296</v>
      </c>
      <c r="C38" s="111" t="s">
        <v>300</v>
      </c>
      <c r="D38" s="112" t="s">
        <v>304</v>
      </c>
      <c r="E38" s="112" t="s">
        <v>308</v>
      </c>
      <c r="F38" s="114" t="s">
        <v>18</v>
      </c>
      <c r="G38" s="109" t="s">
        <v>309</v>
      </c>
      <c r="H38" s="132" t="s">
        <v>109</v>
      </c>
      <c r="I38" s="26">
        <v>109.95</v>
      </c>
      <c r="J38" s="9">
        <v>39.0625</v>
      </c>
      <c r="K38" s="10">
        <v>4</v>
      </c>
      <c r="L38" s="11">
        <f t="shared" si="0"/>
        <v>156.25</v>
      </c>
    </row>
    <row r="39" spans="1:12" s="12" customFormat="1" ht="36.299999999999997" customHeight="1" x14ac:dyDescent="0.3">
      <c r="A39" s="109" t="s">
        <v>124</v>
      </c>
      <c r="B39" s="25" t="s">
        <v>298</v>
      </c>
      <c r="C39" s="111" t="s">
        <v>302</v>
      </c>
      <c r="D39" s="112" t="s">
        <v>306</v>
      </c>
      <c r="E39" s="112" t="s">
        <v>103</v>
      </c>
      <c r="F39" s="114" t="s">
        <v>104</v>
      </c>
      <c r="G39" s="109" t="s">
        <v>309</v>
      </c>
      <c r="H39" s="132" t="s">
        <v>109</v>
      </c>
      <c r="I39" s="26">
        <v>134.94999999999999</v>
      </c>
      <c r="J39" s="9">
        <v>46.562499999999993</v>
      </c>
      <c r="K39" s="10"/>
      <c r="L39" s="11">
        <f t="shared" si="0"/>
        <v>0</v>
      </c>
    </row>
    <row r="40" spans="1:12" s="12" customFormat="1" ht="36.299999999999997" customHeight="1" thickBot="1" x14ac:dyDescent="0.35">
      <c r="A40" s="137" t="s">
        <v>124</v>
      </c>
      <c r="B40" s="196" t="s">
        <v>360</v>
      </c>
      <c r="C40" s="140">
        <v>848869027826</v>
      </c>
      <c r="D40" s="197" t="s">
        <v>306</v>
      </c>
      <c r="E40" s="197" t="s">
        <v>364</v>
      </c>
      <c r="F40" s="195" t="s">
        <v>18</v>
      </c>
      <c r="G40" s="137" t="s">
        <v>309</v>
      </c>
      <c r="H40" s="166" t="s">
        <v>109</v>
      </c>
      <c r="I40" s="46">
        <v>109.95</v>
      </c>
      <c r="J40" s="47">
        <v>39.0625</v>
      </c>
      <c r="K40" s="33">
        <v>2</v>
      </c>
      <c r="L40" s="34">
        <f t="shared" si="0"/>
        <v>78.125</v>
      </c>
    </row>
    <row r="41" spans="1:12" s="37" customFormat="1" ht="36.299999999999997" customHeight="1" x14ac:dyDescent="0.3">
      <c r="A41" s="120" t="s">
        <v>124</v>
      </c>
      <c r="B41" s="116" t="s">
        <v>456</v>
      </c>
      <c r="C41" s="133" t="s">
        <v>477</v>
      </c>
      <c r="D41" s="119" t="s">
        <v>466</v>
      </c>
      <c r="E41" s="118" t="s">
        <v>207</v>
      </c>
      <c r="F41" s="120" t="s">
        <v>14</v>
      </c>
      <c r="G41" s="121" t="s">
        <v>479</v>
      </c>
      <c r="H41" s="134" t="s">
        <v>109</v>
      </c>
      <c r="I41" s="61">
        <v>49.95</v>
      </c>
      <c r="J41" s="48">
        <v>16.25</v>
      </c>
      <c r="K41" s="36">
        <v>8</v>
      </c>
      <c r="L41" s="49">
        <f t="shared" si="0"/>
        <v>130</v>
      </c>
    </row>
    <row r="42" spans="1:12" s="37" customFormat="1" ht="36.299999999999997" customHeight="1" x14ac:dyDescent="0.3">
      <c r="A42" s="126" t="s">
        <v>124</v>
      </c>
      <c r="B42" s="38" t="s">
        <v>452</v>
      </c>
      <c r="C42" s="135" t="s">
        <v>473</v>
      </c>
      <c r="D42" s="125" t="s">
        <v>462</v>
      </c>
      <c r="E42" s="124" t="s">
        <v>255</v>
      </c>
      <c r="F42" s="126" t="s">
        <v>14</v>
      </c>
      <c r="G42" s="127" t="s">
        <v>479</v>
      </c>
      <c r="H42" s="136" t="s">
        <v>109</v>
      </c>
      <c r="I42" s="39">
        <v>49.95</v>
      </c>
      <c r="J42" s="50">
        <v>16.25</v>
      </c>
      <c r="K42" s="41">
        <v>10</v>
      </c>
      <c r="L42" s="51">
        <f t="shared" si="0"/>
        <v>162.5</v>
      </c>
    </row>
    <row r="43" spans="1:12" s="37" customFormat="1" ht="36.299999999999997" customHeight="1" x14ac:dyDescent="0.3">
      <c r="A43" s="126" t="s">
        <v>124</v>
      </c>
      <c r="B43" s="38" t="s">
        <v>453</v>
      </c>
      <c r="C43" s="135" t="s">
        <v>474</v>
      </c>
      <c r="D43" s="125" t="s">
        <v>463</v>
      </c>
      <c r="E43" s="124" t="s">
        <v>69</v>
      </c>
      <c r="F43" s="126" t="s">
        <v>14</v>
      </c>
      <c r="G43" s="127" t="s">
        <v>479</v>
      </c>
      <c r="H43" s="136" t="s">
        <v>109</v>
      </c>
      <c r="I43" s="39">
        <v>59.95</v>
      </c>
      <c r="J43" s="50">
        <v>19.375</v>
      </c>
      <c r="K43" s="41"/>
      <c r="L43" s="51">
        <f t="shared" si="0"/>
        <v>0</v>
      </c>
    </row>
    <row r="44" spans="1:12" s="37" customFormat="1" ht="36.299999999999997" customHeight="1" x14ac:dyDescent="0.3">
      <c r="A44" s="126" t="s">
        <v>124</v>
      </c>
      <c r="B44" s="38" t="s">
        <v>455</v>
      </c>
      <c r="C44" s="135" t="s">
        <v>476</v>
      </c>
      <c r="D44" s="125" t="s">
        <v>465</v>
      </c>
      <c r="E44" s="124" t="s">
        <v>76</v>
      </c>
      <c r="F44" s="126" t="s">
        <v>14</v>
      </c>
      <c r="G44" s="127" t="s">
        <v>479</v>
      </c>
      <c r="H44" s="136" t="s">
        <v>109</v>
      </c>
      <c r="I44" s="39">
        <v>49.95</v>
      </c>
      <c r="J44" s="50">
        <v>16.25</v>
      </c>
      <c r="K44" s="41"/>
      <c r="L44" s="51">
        <f t="shared" si="0"/>
        <v>0</v>
      </c>
    </row>
    <row r="45" spans="1:12" s="37" customFormat="1" ht="36.299999999999997" customHeight="1" x14ac:dyDescent="0.3">
      <c r="A45" s="126" t="s">
        <v>124</v>
      </c>
      <c r="B45" s="38" t="s">
        <v>454</v>
      </c>
      <c r="C45" s="135" t="s">
        <v>475</v>
      </c>
      <c r="D45" s="125" t="s">
        <v>464</v>
      </c>
      <c r="E45" s="124" t="s">
        <v>249</v>
      </c>
      <c r="F45" s="126" t="s">
        <v>14</v>
      </c>
      <c r="G45" s="127" t="s">
        <v>479</v>
      </c>
      <c r="H45" s="136" t="s">
        <v>109</v>
      </c>
      <c r="I45" s="39">
        <v>49.95</v>
      </c>
      <c r="J45" s="50">
        <v>16.25</v>
      </c>
      <c r="K45" s="41">
        <v>8</v>
      </c>
      <c r="L45" s="51">
        <f t="shared" si="0"/>
        <v>130</v>
      </c>
    </row>
    <row r="46" spans="1:12" s="37" customFormat="1" ht="36.299999999999997" customHeight="1" x14ac:dyDescent="0.3">
      <c r="A46" s="126" t="s">
        <v>124</v>
      </c>
      <c r="B46" s="38" t="s">
        <v>447</v>
      </c>
      <c r="C46" s="135" t="s">
        <v>468</v>
      </c>
      <c r="D46" s="125" t="s">
        <v>457</v>
      </c>
      <c r="E46" s="124" t="s">
        <v>467</v>
      </c>
      <c r="F46" s="126" t="s">
        <v>14</v>
      </c>
      <c r="G46" s="127" t="s">
        <v>478</v>
      </c>
      <c r="H46" s="136" t="s">
        <v>109</v>
      </c>
      <c r="I46" s="39">
        <v>49.95</v>
      </c>
      <c r="J46" s="50">
        <v>16.25</v>
      </c>
      <c r="K46" s="41"/>
      <c r="L46" s="51">
        <f t="shared" si="0"/>
        <v>0</v>
      </c>
    </row>
    <row r="47" spans="1:12" s="37" customFormat="1" ht="36.299999999999997" customHeight="1" x14ac:dyDescent="0.3">
      <c r="A47" s="126" t="s">
        <v>124</v>
      </c>
      <c r="B47" s="38" t="s">
        <v>448</v>
      </c>
      <c r="C47" s="135" t="s">
        <v>469</v>
      </c>
      <c r="D47" s="125" t="s">
        <v>458</v>
      </c>
      <c r="E47" s="124" t="s">
        <v>248</v>
      </c>
      <c r="F47" s="126" t="s">
        <v>14</v>
      </c>
      <c r="G47" s="127" t="s">
        <v>478</v>
      </c>
      <c r="H47" s="136" t="s">
        <v>109</v>
      </c>
      <c r="I47" s="39">
        <v>49.95</v>
      </c>
      <c r="J47" s="50">
        <v>16.25</v>
      </c>
      <c r="K47" s="41">
        <v>8</v>
      </c>
      <c r="L47" s="51">
        <f t="shared" si="0"/>
        <v>130</v>
      </c>
    </row>
    <row r="48" spans="1:12" s="37" customFormat="1" ht="36.299999999999997" customHeight="1" x14ac:dyDescent="0.3">
      <c r="A48" s="126" t="s">
        <v>124</v>
      </c>
      <c r="B48" s="38" t="s">
        <v>450</v>
      </c>
      <c r="C48" s="135" t="s">
        <v>471</v>
      </c>
      <c r="D48" s="125" t="s">
        <v>460</v>
      </c>
      <c r="E48" s="124" t="s">
        <v>247</v>
      </c>
      <c r="F48" s="126" t="s">
        <v>14</v>
      </c>
      <c r="G48" s="127" t="s">
        <v>478</v>
      </c>
      <c r="H48" s="136" t="s">
        <v>109</v>
      </c>
      <c r="I48" s="39">
        <v>49.95</v>
      </c>
      <c r="J48" s="50">
        <v>16.25</v>
      </c>
      <c r="K48" s="41"/>
      <c r="L48" s="51">
        <f t="shared" si="0"/>
        <v>0</v>
      </c>
    </row>
    <row r="49" spans="1:12" s="37" customFormat="1" ht="36.299999999999997" customHeight="1" x14ac:dyDescent="0.3">
      <c r="A49" s="126" t="s">
        <v>124</v>
      </c>
      <c r="B49" s="38" t="s">
        <v>451</v>
      </c>
      <c r="C49" s="135" t="s">
        <v>472</v>
      </c>
      <c r="D49" s="125" t="s">
        <v>461</v>
      </c>
      <c r="E49" s="124" t="s">
        <v>165</v>
      </c>
      <c r="F49" s="126" t="s">
        <v>14</v>
      </c>
      <c r="G49" s="127" t="s">
        <v>478</v>
      </c>
      <c r="H49" s="136" t="s">
        <v>109</v>
      </c>
      <c r="I49" s="39">
        <v>49.95</v>
      </c>
      <c r="J49" s="50">
        <v>16.25</v>
      </c>
      <c r="K49" s="41">
        <v>8</v>
      </c>
      <c r="L49" s="51">
        <f t="shared" si="0"/>
        <v>130</v>
      </c>
    </row>
    <row r="50" spans="1:12" s="37" customFormat="1" ht="36.299999999999997" customHeight="1" thickBot="1" x14ac:dyDescent="0.35">
      <c r="A50" s="185" t="s">
        <v>124</v>
      </c>
      <c r="B50" s="199" t="s">
        <v>449</v>
      </c>
      <c r="C50" s="187" t="s">
        <v>470</v>
      </c>
      <c r="D50" s="202" t="s">
        <v>459</v>
      </c>
      <c r="E50" s="201" t="s">
        <v>255</v>
      </c>
      <c r="F50" s="185" t="s">
        <v>14</v>
      </c>
      <c r="G50" s="203" t="s">
        <v>478</v>
      </c>
      <c r="H50" s="189" t="s">
        <v>109</v>
      </c>
      <c r="I50" s="204">
        <v>49.95</v>
      </c>
      <c r="J50" s="52">
        <v>16.25</v>
      </c>
      <c r="K50" s="43">
        <v>2</v>
      </c>
      <c r="L50" s="42">
        <f t="shared" si="0"/>
        <v>32.5</v>
      </c>
    </row>
    <row r="51" spans="1:12" s="12" customFormat="1" ht="36.299999999999997" customHeight="1" x14ac:dyDescent="0.3">
      <c r="A51" s="109" t="s">
        <v>124</v>
      </c>
      <c r="B51" s="147" t="s">
        <v>281</v>
      </c>
      <c r="C51" s="148">
        <v>848869026560</v>
      </c>
      <c r="D51" s="109" t="s">
        <v>282</v>
      </c>
      <c r="E51" s="111" t="s">
        <v>283</v>
      </c>
      <c r="F51" s="178" t="s">
        <v>18</v>
      </c>
      <c r="G51" s="109" t="s">
        <v>138</v>
      </c>
      <c r="H51" s="109" t="s">
        <v>109</v>
      </c>
      <c r="I51" s="26">
        <v>109.95</v>
      </c>
      <c r="J51" s="9">
        <v>39.0625</v>
      </c>
      <c r="K51" s="10"/>
      <c r="L51" s="11">
        <f t="shared" si="0"/>
        <v>0</v>
      </c>
    </row>
    <row r="52" spans="1:12" s="12" customFormat="1" ht="31.5" customHeight="1" x14ac:dyDescent="0.3">
      <c r="A52" s="137" t="s">
        <v>124</v>
      </c>
      <c r="B52" s="138" t="s">
        <v>134</v>
      </c>
      <c r="C52" s="139" t="s">
        <v>136</v>
      </c>
      <c r="D52" s="137" t="s">
        <v>287</v>
      </c>
      <c r="E52" s="140" t="s">
        <v>139</v>
      </c>
      <c r="F52" s="141" t="s">
        <v>16</v>
      </c>
      <c r="G52" s="137" t="s">
        <v>138</v>
      </c>
      <c r="H52" s="137" t="s">
        <v>109</v>
      </c>
      <c r="I52" s="46">
        <v>109.95</v>
      </c>
      <c r="J52" s="9">
        <v>39.0625</v>
      </c>
      <c r="K52" s="10"/>
      <c r="L52" s="11">
        <f t="shared" si="0"/>
        <v>0</v>
      </c>
    </row>
    <row r="53" spans="1:12" s="12" customFormat="1" ht="31.5" customHeight="1" x14ac:dyDescent="0.3">
      <c r="A53" s="109" t="s">
        <v>124</v>
      </c>
      <c r="B53" s="147" t="s">
        <v>284</v>
      </c>
      <c r="C53" s="148">
        <v>848869026584</v>
      </c>
      <c r="D53" s="109" t="s">
        <v>285</v>
      </c>
      <c r="E53" s="111" t="s">
        <v>286</v>
      </c>
      <c r="F53" s="178" t="s">
        <v>18</v>
      </c>
      <c r="G53" s="109" t="s">
        <v>138</v>
      </c>
      <c r="H53" s="109" t="s">
        <v>109</v>
      </c>
      <c r="I53" s="26">
        <v>109.95</v>
      </c>
      <c r="J53" s="9">
        <v>39.0625</v>
      </c>
      <c r="K53" s="10"/>
      <c r="L53" s="11">
        <f t="shared" si="0"/>
        <v>0</v>
      </c>
    </row>
    <row r="54" spans="1:12" s="53" customFormat="1" ht="36.299999999999997" customHeight="1" thickBot="1" x14ac:dyDescent="0.35">
      <c r="A54" s="142" t="s">
        <v>124</v>
      </c>
      <c r="B54" s="143" t="s">
        <v>135</v>
      </c>
      <c r="C54" s="144" t="s">
        <v>137</v>
      </c>
      <c r="D54" s="142" t="s">
        <v>288</v>
      </c>
      <c r="E54" s="145" t="s">
        <v>140</v>
      </c>
      <c r="F54" s="146" t="s">
        <v>16</v>
      </c>
      <c r="G54" s="142" t="s">
        <v>138</v>
      </c>
      <c r="H54" s="142" t="s">
        <v>109</v>
      </c>
      <c r="I54" s="57">
        <v>109.95</v>
      </c>
      <c r="J54" s="9">
        <v>39.0625</v>
      </c>
      <c r="K54" s="10"/>
      <c r="L54" s="11">
        <f t="shared" si="0"/>
        <v>0</v>
      </c>
    </row>
    <row r="55" spans="1:12" s="12" customFormat="1" ht="35.549999999999997" customHeight="1" x14ac:dyDescent="0.3">
      <c r="A55" s="109" t="s">
        <v>124</v>
      </c>
      <c r="B55" s="147">
        <v>1820305332</v>
      </c>
      <c r="C55" s="148">
        <v>848869022272</v>
      </c>
      <c r="D55" s="109" t="s">
        <v>149</v>
      </c>
      <c r="E55" s="111" t="s">
        <v>151</v>
      </c>
      <c r="F55" s="149" t="s">
        <v>104</v>
      </c>
      <c r="G55" s="114" t="s">
        <v>153</v>
      </c>
      <c r="H55" s="109" t="s">
        <v>109</v>
      </c>
      <c r="I55" s="26">
        <v>134.94999999999999</v>
      </c>
      <c r="J55" s="9">
        <v>46.562499999999993</v>
      </c>
      <c r="K55" s="10"/>
      <c r="L55" s="11">
        <f t="shared" si="0"/>
        <v>0</v>
      </c>
    </row>
    <row r="56" spans="1:12" s="12" customFormat="1" ht="36.299999999999997" customHeight="1" thickBot="1" x14ac:dyDescent="0.35">
      <c r="A56" s="109" t="s">
        <v>124</v>
      </c>
      <c r="B56" s="147">
        <v>1820109022</v>
      </c>
      <c r="C56" s="148">
        <v>848869022890</v>
      </c>
      <c r="D56" s="109" t="s">
        <v>148</v>
      </c>
      <c r="E56" s="111" t="s">
        <v>32</v>
      </c>
      <c r="F56" s="149" t="s">
        <v>18</v>
      </c>
      <c r="G56" s="114" t="s">
        <v>152</v>
      </c>
      <c r="H56" s="109" t="s">
        <v>109</v>
      </c>
      <c r="I56" s="26">
        <v>109.95</v>
      </c>
      <c r="J56" s="9">
        <v>39.0625</v>
      </c>
      <c r="K56" s="10"/>
      <c r="L56" s="11">
        <f t="shared" si="0"/>
        <v>0</v>
      </c>
    </row>
    <row r="57" spans="1:12" s="12" customFormat="1" ht="36.299999999999997" customHeight="1" x14ac:dyDescent="0.3">
      <c r="A57" s="151" t="s">
        <v>124</v>
      </c>
      <c r="B57" s="152" t="s">
        <v>113</v>
      </c>
      <c r="C57" s="153">
        <v>810074140492</v>
      </c>
      <c r="D57" s="151" t="s">
        <v>175</v>
      </c>
      <c r="E57" s="154" t="s">
        <v>31</v>
      </c>
      <c r="F57" s="154" t="s">
        <v>16</v>
      </c>
      <c r="G57" s="151" t="s">
        <v>112</v>
      </c>
      <c r="H57" s="151" t="s">
        <v>109</v>
      </c>
      <c r="I57" s="54">
        <v>99.95</v>
      </c>
      <c r="J57" s="9">
        <v>35.312499999999993</v>
      </c>
      <c r="K57" s="10"/>
      <c r="L57" s="11">
        <f t="shared" si="0"/>
        <v>0</v>
      </c>
    </row>
    <row r="58" spans="1:12" s="17" customFormat="1" ht="36.299999999999997" customHeight="1" x14ac:dyDescent="0.3">
      <c r="A58" s="109" t="s">
        <v>124</v>
      </c>
      <c r="B58" s="150" t="s">
        <v>114</v>
      </c>
      <c r="C58" s="148">
        <v>810074140508</v>
      </c>
      <c r="D58" s="109" t="s">
        <v>176</v>
      </c>
      <c r="E58" s="111" t="s">
        <v>32</v>
      </c>
      <c r="F58" s="111" t="s">
        <v>18</v>
      </c>
      <c r="G58" s="109" t="s">
        <v>112</v>
      </c>
      <c r="H58" s="109" t="s">
        <v>109</v>
      </c>
      <c r="I58" s="14">
        <v>109.95</v>
      </c>
      <c r="J58" s="9">
        <v>39.0625</v>
      </c>
      <c r="K58" s="10"/>
      <c r="L58" s="11">
        <f t="shared" si="0"/>
        <v>0</v>
      </c>
    </row>
    <row r="59" spans="1:12" s="17" customFormat="1" ht="35.549999999999997" customHeight="1" thickBot="1" x14ac:dyDescent="0.35">
      <c r="A59" s="109" t="s">
        <v>124</v>
      </c>
      <c r="B59" s="150" t="s">
        <v>115</v>
      </c>
      <c r="C59" s="148">
        <v>810074140515</v>
      </c>
      <c r="D59" s="109" t="s">
        <v>177</v>
      </c>
      <c r="E59" s="111" t="s">
        <v>103</v>
      </c>
      <c r="F59" s="111" t="s">
        <v>104</v>
      </c>
      <c r="G59" s="109" t="s">
        <v>112</v>
      </c>
      <c r="H59" s="109" t="s">
        <v>109</v>
      </c>
      <c r="I59" s="14">
        <v>134.94999999999999</v>
      </c>
      <c r="J59" s="9">
        <v>46.562499999999993</v>
      </c>
      <c r="K59" s="10"/>
      <c r="L59" s="11">
        <f t="shared" si="0"/>
        <v>0</v>
      </c>
    </row>
    <row r="60" spans="1:12" s="17" customFormat="1" ht="36.299999999999997" customHeight="1" x14ac:dyDescent="0.3">
      <c r="A60" s="151" t="s">
        <v>124</v>
      </c>
      <c r="B60" s="152" t="s">
        <v>446</v>
      </c>
      <c r="C60" s="153">
        <v>848869027031</v>
      </c>
      <c r="D60" s="151" t="s">
        <v>167</v>
      </c>
      <c r="E60" s="154" t="s">
        <v>76</v>
      </c>
      <c r="F60" s="154" t="s">
        <v>14</v>
      </c>
      <c r="G60" s="151" t="s">
        <v>170</v>
      </c>
      <c r="H60" s="151" t="s">
        <v>109</v>
      </c>
      <c r="I60" s="54">
        <v>69.95</v>
      </c>
      <c r="J60" s="22">
        <v>25</v>
      </c>
      <c r="K60" s="23"/>
      <c r="L60" s="24">
        <f t="shared" si="0"/>
        <v>0</v>
      </c>
    </row>
    <row r="61" spans="1:12" s="17" customFormat="1" ht="36.299999999999997" customHeight="1" x14ac:dyDescent="0.3">
      <c r="A61" s="131" t="s">
        <v>124</v>
      </c>
      <c r="B61" s="207">
        <v>1810110501</v>
      </c>
      <c r="C61" s="208">
        <v>848869022265</v>
      </c>
      <c r="D61" s="131" t="s">
        <v>167</v>
      </c>
      <c r="E61" s="129" t="s">
        <v>150</v>
      </c>
      <c r="F61" s="129" t="s">
        <v>16</v>
      </c>
      <c r="G61" s="131" t="s">
        <v>170</v>
      </c>
      <c r="H61" s="131" t="s">
        <v>109</v>
      </c>
      <c r="I61" s="55">
        <v>89.95</v>
      </c>
      <c r="J61" s="9">
        <v>31.562499999999996</v>
      </c>
      <c r="K61" s="10"/>
      <c r="L61" s="11">
        <f t="shared" ref="L61:L120" si="1">K61*J61</f>
        <v>0</v>
      </c>
    </row>
    <row r="62" spans="1:12" s="17" customFormat="1" ht="35.549999999999997" customHeight="1" x14ac:dyDescent="0.3">
      <c r="A62" s="109" t="s">
        <v>124</v>
      </c>
      <c r="B62" s="150" t="s">
        <v>432</v>
      </c>
      <c r="C62" s="148">
        <v>848869024887</v>
      </c>
      <c r="D62" s="109" t="s">
        <v>433</v>
      </c>
      <c r="E62" s="111" t="s">
        <v>434</v>
      </c>
      <c r="F62" s="111" t="s">
        <v>435</v>
      </c>
      <c r="G62" s="109" t="s">
        <v>170</v>
      </c>
      <c r="H62" s="109" t="s">
        <v>109</v>
      </c>
      <c r="I62" s="14">
        <v>99.95</v>
      </c>
      <c r="J62" s="9">
        <v>35.312499999999993</v>
      </c>
      <c r="K62" s="10"/>
      <c r="L62" s="11">
        <f t="shared" si="1"/>
        <v>0</v>
      </c>
    </row>
    <row r="63" spans="1:12" s="17" customFormat="1" ht="35.549999999999997" customHeight="1" x14ac:dyDescent="0.3">
      <c r="A63" s="109" t="s">
        <v>124</v>
      </c>
      <c r="B63" s="150" t="s">
        <v>440</v>
      </c>
      <c r="C63" s="148">
        <v>848869024894</v>
      </c>
      <c r="D63" s="109" t="s">
        <v>438</v>
      </c>
      <c r="E63" s="111" t="s">
        <v>436</v>
      </c>
      <c r="F63" s="111" t="s">
        <v>435</v>
      </c>
      <c r="G63" s="109" t="s">
        <v>170</v>
      </c>
      <c r="H63" s="109" t="s">
        <v>109</v>
      </c>
      <c r="I63" s="14">
        <v>99.95</v>
      </c>
      <c r="J63" s="9">
        <v>35.312499999999993</v>
      </c>
      <c r="K63" s="10"/>
      <c r="L63" s="11">
        <f t="shared" si="1"/>
        <v>0</v>
      </c>
    </row>
    <row r="64" spans="1:12" s="17" customFormat="1" ht="35.549999999999997" customHeight="1" x14ac:dyDescent="0.3">
      <c r="A64" s="109" t="s">
        <v>124</v>
      </c>
      <c r="B64" s="150" t="s">
        <v>441</v>
      </c>
      <c r="C64" s="148">
        <v>848869024900</v>
      </c>
      <c r="D64" s="109" t="s">
        <v>439</v>
      </c>
      <c r="E64" s="111" t="s">
        <v>437</v>
      </c>
      <c r="F64" s="111" t="s">
        <v>435</v>
      </c>
      <c r="G64" s="109" t="s">
        <v>170</v>
      </c>
      <c r="H64" s="109" t="s">
        <v>109</v>
      </c>
      <c r="I64" s="14">
        <v>99.95</v>
      </c>
      <c r="J64" s="9">
        <v>35.312499999999993</v>
      </c>
      <c r="K64" s="10"/>
      <c r="L64" s="11">
        <f t="shared" si="1"/>
        <v>0</v>
      </c>
    </row>
    <row r="65" spans="1:12" s="17" customFormat="1" ht="36.299999999999997" customHeight="1" x14ac:dyDescent="0.3">
      <c r="A65" s="109" t="s">
        <v>124</v>
      </c>
      <c r="B65" s="150">
        <v>1810409059</v>
      </c>
      <c r="C65" s="148">
        <v>848869022920</v>
      </c>
      <c r="D65" s="109" t="s">
        <v>173</v>
      </c>
      <c r="E65" s="111" t="s">
        <v>69</v>
      </c>
      <c r="F65" s="111" t="s">
        <v>14</v>
      </c>
      <c r="G65" s="109" t="s">
        <v>170</v>
      </c>
      <c r="H65" s="109" t="s">
        <v>109</v>
      </c>
      <c r="I65" s="14">
        <v>69.95</v>
      </c>
      <c r="J65" s="9">
        <v>25</v>
      </c>
      <c r="K65" s="10"/>
      <c r="L65" s="11">
        <f t="shared" si="1"/>
        <v>0</v>
      </c>
    </row>
    <row r="66" spans="1:12" s="17" customFormat="1" ht="35.549999999999997" customHeight="1" x14ac:dyDescent="0.3">
      <c r="A66" s="109" t="s">
        <v>124</v>
      </c>
      <c r="B66" s="150">
        <v>1810300331</v>
      </c>
      <c r="C66" s="148">
        <v>848869022937</v>
      </c>
      <c r="D66" s="109" t="s">
        <v>172</v>
      </c>
      <c r="E66" s="111" t="s">
        <v>3</v>
      </c>
      <c r="F66" s="111" t="s">
        <v>20</v>
      </c>
      <c r="G66" s="109" t="s">
        <v>170</v>
      </c>
      <c r="H66" s="109" t="s">
        <v>109</v>
      </c>
      <c r="I66" s="14">
        <v>99.95</v>
      </c>
      <c r="J66" s="9">
        <v>35.312499999999993</v>
      </c>
      <c r="K66" s="10"/>
      <c r="L66" s="11">
        <f t="shared" si="1"/>
        <v>0</v>
      </c>
    </row>
    <row r="67" spans="1:12" s="17" customFormat="1" ht="35.549999999999997" customHeight="1" x14ac:dyDescent="0.3">
      <c r="A67" s="209" t="s">
        <v>124</v>
      </c>
      <c r="B67" s="207">
        <v>1810300130</v>
      </c>
      <c r="C67" s="208">
        <v>848869022258</v>
      </c>
      <c r="D67" s="131" t="s">
        <v>168</v>
      </c>
      <c r="E67" s="129" t="s">
        <v>103</v>
      </c>
      <c r="F67" s="129" t="s">
        <v>104</v>
      </c>
      <c r="G67" s="209" t="s">
        <v>170</v>
      </c>
      <c r="H67" s="209" t="s">
        <v>109</v>
      </c>
      <c r="I67" s="206">
        <v>99.95</v>
      </c>
      <c r="J67" s="45">
        <v>35.312499999999993</v>
      </c>
      <c r="K67" s="30"/>
      <c r="L67" s="31">
        <f t="shared" si="1"/>
        <v>0</v>
      </c>
    </row>
    <row r="68" spans="1:12" s="17" customFormat="1" ht="36.299999999999997" customHeight="1" x14ac:dyDescent="0.3">
      <c r="A68" s="137" t="s">
        <v>124</v>
      </c>
      <c r="B68" s="150">
        <v>1810101222</v>
      </c>
      <c r="C68" s="148">
        <v>848869022913</v>
      </c>
      <c r="D68" s="109" t="s">
        <v>171</v>
      </c>
      <c r="E68" s="111" t="s">
        <v>32</v>
      </c>
      <c r="F68" s="111" t="s">
        <v>18</v>
      </c>
      <c r="G68" s="137" t="s">
        <v>170</v>
      </c>
      <c r="H68" s="137" t="s">
        <v>109</v>
      </c>
      <c r="I68" s="26">
        <v>99.95</v>
      </c>
      <c r="J68" s="9">
        <v>35.312499999999993</v>
      </c>
      <c r="K68" s="10"/>
      <c r="L68" s="11">
        <f t="shared" si="1"/>
        <v>0</v>
      </c>
    </row>
    <row r="69" spans="1:12" s="17" customFormat="1" ht="35.549999999999997" customHeight="1" thickBot="1" x14ac:dyDescent="0.35">
      <c r="A69" s="142" t="s">
        <v>124</v>
      </c>
      <c r="B69" s="210">
        <v>1810302832</v>
      </c>
      <c r="C69" s="144">
        <v>848869022241</v>
      </c>
      <c r="D69" s="155" t="s">
        <v>169</v>
      </c>
      <c r="E69" s="56" t="s">
        <v>151</v>
      </c>
      <c r="F69" s="56" t="s">
        <v>104</v>
      </c>
      <c r="G69" s="142" t="s">
        <v>170</v>
      </c>
      <c r="H69" s="142" t="s">
        <v>109</v>
      </c>
      <c r="I69" s="57">
        <v>99.95</v>
      </c>
      <c r="J69" s="18">
        <v>35.312499999999993</v>
      </c>
      <c r="K69" s="19"/>
      <c r="L69" s="20">
        <f t="shared" si="1"/>
        <v>0</v>
      </c>
    </row>
    <row r="70" spans="1:12" s="17" customFormat="1" ht="36.299999999999997" customHeight="1" thickBot="1" x14ac:dyDescent="0.35">
      <c r="A70" s="155" t="s">
        <v>124</v>
      </c>
      <c r="B70" s="156" t="s">
        <v>406</v>
      </c>
      <c r="C70" s="56">
        <v>848869023538</v>
      </c>
      <c r="D70" s="155" t="s">
        <v>407</v>
      </c>
      <c r="E70" s="157" t="s">
        <v>559</v>
      </c>
      <c r="F70" s="155" t="s">
        <v>15</v>
      </c>
      <c r="G70" s="155" t="s">
        <v>554</v>
      </c>
      <c r="H70" s="155" t="s">
        <v>109</v>
      </c>
      <c r="I70" s="158">
        <v>29.95</v>
      </c>
      <c r="J70" s="58">
        <v>12.5</v>
      </c>
      <c r="K70" s="59"/>
      <c r="L70" s="60">
        <f t="shared" si="1"/>
        <v>0</v>
      </c>
    </row>
    <row r="71" spans="1:12" s="63" customFormat="1" ht="36.299999999999997" customHeight="1" thickBot="1" x14ac:dyDescent="0.35">
      <c r="A71" s="237" t="s">
        <v>124</v>
      </c>
      <c r="B71" s="238" t="s">
        <v>552</v>
      </c>
      <c r="C71" s="239">
        <v>848869031953</v>
      </c>
      <c r="D71" s="237" t="s">
        <v>555</v>
      </c>
      <c r="E71" s="240" t="s">
        <v>553</v>
      </c>
      <c r="F71" s="237" t="s">
        <v>15</v>
      </c>
      <c r="G71" s="237" t="s">
        <v>554</v>
      </c>
      <c r="H71" s="237" t="s">
        <v>109</v>
      </c>
      <c r="I71" s="241">
        <v>29.95</v>
      </c>
      <c r="J71" s="242">
        <v>12.5</v>
      </c>
      <c r="K71" s="243"/>
      <c r="L71" s="244">
        <f t="shared" ref="L71:L72" si="2">K71*J71</f>
        <v>0</v>
      </c>
    </row>
    <row r="72" spans="1:12" s="63" customFormat="1" ht="36.299999999999997" customHeight="1" thickBot="1" x14ac:dyDescent="0.35">
      <c r="A72" s="237" t="s">
        <v>124</v>
      </c>
      <c r="B72" s="245" t="s">
        <v>558</v>
      </c>
      <c r="C72" s="246">
        <v>848869031977</v>
      </c>
      <c r="D72" s="247" t="s">
        <v>557</v>
      </c>
      <c r="E72" s="248" t="s">
        <v>556</v>
      </c>
      <c r="F72" s="237" t="s">
        <v>15</v>
      </c>
      <c r="G72" s="237" t="s">
        <v>554</v>
      </c>
      <c r="H72" s="237" t="s">
        <v>109</v>
      </c>
      <c r="I72" s="241">
        <v>29.95</v>
      </c>
      <c r="J72" s="242">
        <v>12.5</v>
      </c>
      <c r="K72" s="243"/>
      <c r="L72" s="244">
        <f t="shared" si="2"/>
        <v>0</v>
      </c>
    </row>
    <row r="73" spans="1:12" s="17" customFormat="1" ht="36.299999999999997" customHeight="1" x14ac:dyDescent="0.3">
      <c r="A73" s="151" t="s">
        <v>124</v>
      </c>
      <c r="B73" s="190" t="s">
        <v>261</v>
      </c>
      <c r="C73" s="154">
        <v>848869025655</v>
      </c>
      <c r="D73" s="151" t="s">
        <v>264</v>
      </c>
      <c r="E73" s="211" t="s">
        <v>12</v>
      </c>
      <c r="F73" s="151" t="s">
        <v>14</v>
      </c>
      <c r="G73" s="151" t="s">
        <v>267</v>
      </c>
      <c r="H73" s="151" t="s">
        <v>108</v>
      </c>
      <c r="I73" s="54">
        <v>49.95</v>
      </c>
      <c r="J73" s="22">
        <v>16.874999999999996</v>
      </c>
      <c r="K73" s="23"/>
      <c r="L73" s="24">
        <f t="shared" si="1"/>
        <v>0</v>
      </c>
    </row>
    <row r="74" spans="1:12" s="17" customFormat="1" ht="36.299999999999997" customHeight="1" x14ac:dyDescent="0.3">
      <c r="A74" s="109" t="s">
        <v>124</v>
      </c>
      <c r="B74" s="113" t="s">
        <v>260</v>
      </c>
      <c r="C74" s="111">
        <v>848869025679</v>
      </c>
      <c r="D74" s="109" t="s">
        <v>264</v>
      </c>
      <c r="E74" s="159" t="s">
        <v>249</v>
      </c>
      <c r="F74" s="109" t="s">
        <v>14</v>
      </c>
      <c r="G74" s="109" t="s">
        <v>267</v>
      </c>
      <c r="H74" s="109" t="s">
        <v>108</v>
      </c>
      <c r="I74" s="14">
        <v>49.95</v>
      </c>
      <c r="J74" s="9">
        <v>16.874999999999996</v>
      </c>
      <c r="K74" s="10"/>
      <c r="L74" s="11">
        <f t="shared" si="1"/>
        <v>0</v>
      </c>
    </row>
    <row r="75" spans="1:12" s="17" customFormat="1" ht="31.5" customHeight="1" x14ac:dyDescent="0.3">
      <c r="A75" s="109" t="s">
        <v>124</v>
      </c>
      <c r="B75" s="113" t="s">
        <v>262</v>
      </c>
      <c r="C75" s="111">
        <v>848869025686</v>
      </c>
      <c r="D75" s="109" t="s">
        <v>265</v>
      </c>
      <c r="E75" s="159" t="s">
        <v>165</v>
      </c>
      <c r="F75" s="109" t="s">
        <v>14</v>
      </c>
      <c r="G75" s="109" t="s">
        <v>267</v>
      </c>
      <c r="H75" s="109" t="s">
        <v>108</v>
      </c>
      <c r="I75" s="14">
        <v>49.95</v>
      </c>
      <c r="J75" s="9">
        <v>16.874999999999996</v>
      </c>
      <c r="K75" s="10"/>
      <c r="L75" s="11">
        <f t="shared" si="1"/>
        <v>0</v>
      </c>
    </row>
    <row r="76" spans="1:12" s="17" customFormat="1" ht="31.5" customHeight="1" thickBot="1" x14ac:dyDescent="0.35">
      <c r="A76" s="109" t="s">
        <v>124</v>
      </c>
      <c r="B76" s="113" t="s">
        <v>263</v>
      </c>
      <c r="C76" s="111">
        <v>848869025693</v>
      </c>
      <c r="D76" s="109" t="s">
        <v>266</v>
      </c>
      <c r="E76" s="159" t="s">
        <v>247</v>
      </c>
      <c r="F76" s="109" t="s">
        <v>14</v>
      </c>
      <c r="G76" s="109" t="s">
        <v>267</v>
      </c>
      <c r="H76" s="109" t="s">
        <v>108</v>
      </c>
      <c r="I76" s="14">
        <v>49.95</v>
      </c>
      <c r="J76" s="9">
        <v>16.874999999999996</v>
      </c>
      <c r="K76" s="10"/>
      <c r="L76" s="11">
        <f t="shared" si="1"/>
        <v>0</v>
      </c>
    </row>
    <row r="77" spans="1:12" s="63" customFormat="1" ht="36.299999999999997" customHeight="1" x14ac:dyDescent="0.3">
      <c r="A77" s="134" t="s">
        <v>124</v>
      </c>
      <c r="B77" s="160" t="s">
        <v>524</v>
      </c>
      <c r="C77" s="117" t="s">
        <v>541</v>
      </c>
      <c r="D77" s="120" t="s">
        <v>532</v>
      </c>
      <c r="E77" s="161" t="s">
        <v>13</v>
      </c>
      <c r="F77" s="162" t="s">
        <v>17</v>
      </c>
      <c r="G77" s="120" t="s">
        <v>540</v>
      </c>
      <c r="H77" s="120" t="s">
        <v>108</v>
      </c>
      <c r="I77" s="61">
        <v>79.95</v>
      </c>
      <c r="J77" s="92">
        <v>28.437499999999996</v>
      </c>
      <c r="K77" s="98"/>
      <c r="L77" s="96">
        <f t="shared" si="1"/>
        <v>0</v>
      </c>
    </row>
    <row r="78" spans="1:12" s="63" customFormat="1" ht="36.299999999999997" customHeight="1" x14ac:dyDescent="0.3">
      <c r="A78" s="136" t="s">
        <v>124</v>
      </c>
      <c r="B78" s="163" t="s">
        <v>525</v>
      </c>
      <c r="C78" s="123" t="s">
        <v>542</v>
      </c>
      <c r="D78" s="126" t="s">
        <v>533</v>
      </c>
      <c r="E78" s="164" t="s">
        <v>207</v>
      </c>
      <c r="F78" s="165" t="s">
        <v>14</v>
      </c>
      <c r="G78" s="126" t="s">
        <v>540</v>
      </c>
      <c r="H78" s="126" t="s">
        <v>108</v>
      </c>
      <c r="I78" s="39">
        <v>49.95</v>
      </c>
      <c r="J78" s="93">
        <v>16.874999999999996</v>
      </c>
      <c r="K78" s="99"/>
      <c r="L78" s="95">
        <f t="shared" si="1"/>
        <v>0</v>
      </c>
    </row>
    <row r="79" spans="1:12" s="63" customFormat="1" ht="36.299999999999997" customHeight="1" x14ac:dyDescent="0.3">
      <c r="A79" s="136" t="s">
        <v>124</v>
      </c>
      <c r="B79" s="163" t="s">
        <v>526</v>
      </c>
      <c r="C79" s="123" t="s">
        <v>543</v>
      </c>
      <c r="D79" s="126" t="s">
        <v>534</v>
      </c>
      <c r="E79" s="164" t="s">
        <v>279</v>
      </c>
      <c r="F79" s="165" t="s">
        <v>14</v>
      </c>
      <c r="G79" s="126" t="s">
        <v>540</v>
      </c>
      <c r="H79" s="126" t="s">
        <v>108</v>
      </c>
      <c r="I79" s="39">
        <v>49.95</v>
      </c>
      <c r="J79" s="93">
        <v>16.874999999999996</v>
      </c>
      <c r="K79" s="99"/>
      <c r="L79" s="95">
        <f t="shared" si="1"/>
        <v>0</v>
      </c>
    </row>
    <row r="80" spans="1:12" s="63" customFormat="1" ht="36.299999999999997" customHeight="1" x14ac:dyDescent="0.3">
      <c r="A80" s="136" t="s">
        <v>124</v>
      </c>
      <c r="B80" s="163" t="s">
        <v>527</v>
      </c>
      <c r="C80" s="123" t="s">
        <v>544</v>
      </c>
      <c r="D80" s="126" t="s">
        <v>535</v>
      </c>
      <c r="E80" s="164" t="s">
        <v>165</v>
      </c>
      <c r="F80" s="165" t="s">
        <v>14</v>
      </c>
      <c r="G80" s="126" t="s">
        <v>540</v>
      </c>
      <c r="H80" s="126" t="s">
        <v>108</v>
      </c>
      <c r="I80" s="39">
        <v>49.95</v>
      </c>
      <c r="J80" s="93">
        <v>16.874999999999996</v>
      </c>
      <c r="K80" s="99"/>
      <c r="L80" s="95">
        <f t="shared" si="1"/>
        <v>0</v>
      </c>
    </row>
    <row r="81" spans="1:12" s="63" customFormat="1" ht="36.299999999999997" customHeight="1" x14ac:dyDescent="0.3">
      <c r="A81" s="136" t="s">
        <v>124</v>
      </c>
      <c r="B81" s="163" t="s">
        <v>528</v>
      </c>
      <c r="C81" s="123" t="s">
        <v>545</v>
      </c>
      <c r="D81" s="126" t="s">
        <v>536</v>
      </c>
      <c r="E81" s="164" t="s">
        <v>247</v>
      </c>
      <c r="F81" s="165" t="s">
        <v>14</v>
      </c>
      <c r="G81" s="126" t="s">
        <v>540</v>
      </c>
      <c r="H81" s="126" t="s">
        <v>108</v>
      </c>
      <c r="I81" s="39">
        <v>49.95</v>
      </c>
      <c r="J81" s="93">
        <v>16.874999999999996</v>
      </c>
      <c r="K81" s="99"/>
      <c r="L81" s="95">
        <f t="shared" si="1"/>
        <v>0</v>
      </c>
    </row>
    <row r="82" spans="1:12" s="63" customFormat="1" ht="36.299999999999997" customHeight="1" x14ac:dyDescent="0.3">
      <c r="A82" s="136" t="s">
        <v>124</v>
      </c>
      <c r="B82" s="163" t="s">
        <v>529</v>
      </c>
      <c r="C82" s="123" t="s">
        <v>546</v>
      </c>
      <c r="D82" s="126" t="s">
        <v>537</v>
      </c>
      <c r="E82" s="164" t="s">
        <v>248</v>
      </c>
      <c r="F82" s="165" t="s">
        <v>14</v>
      </c>
      <c r="G82" s="126" t="s">
        <v>540</v>
      </c>
      <c r="H82" s="126" t="s">
        <v>108</v>
      </c>
      <c r="I82" s="39">
        <v>49.95</v>
      </c>
      <c r="J82" s="93">
        <v>16.874999999999996</v>
      </c>
      <c r="K82" s="99"/>
      <c r="L82" s="95">
        <f t="shared" si="1"/>
        <v>0</v>
      </c>
    </row>
    <row r="83" spans="1:12" s="63" customFormat="1" ht="36.299999999999997" customHeight="1" x14ac:dyDescent="0.3">
      <c r="A83" s="136" t="s">
        <v>124</v>
      </c>
      <c r="B83" s="163" t="s">
        <v>530</v>
      </c>
      <c r="C83" s="123" t="s">
        <v>547</v>
      </c>
      <c r="D83" s="126" t="s">
        <v>538</v>
      </c>
      <c r="E83" s="164" t="s">
        <v>251</v>
      </c>
      <c r="F83" s="165" t="s">
        <v>14</v>
      </c>
      <c r="G83" s="126" t="s">
        <v>540</v>
      </c>
      <c r="H83" s="126" t="s">
        <v>108</v>
      </c>
      <c r="I83" s="39">
        <v>49.95</v>
      </c>
      <c r="J83" s="93">
        <v>16.874999999999996</v>
      </c>
      <c r="K83" s="99"/>
      <c r="L83" s="95">
        <f t="shared" si="1"/>
        <v>0</v>
      </c>
    </row>
    <row r="84" spans="1:12" s="63" customFormat="1" ht="36.299999999999997" customHeight="1" thickBot="1" x14ac:dyDescent="0.35">
      <c r="A84" s="189" t="s">
        <v>124</v>
      </c>
      <c r="B84" s="212" t="s">
        <v>531</v>
      </c>
      <c r="C84" s="200" t="s">
        <v>548</v>
      </c>
      <c r="D84" s="185" t="s">
        <v>539</v>
      </c>
      <c r="E84" s="213" t="s">
        <v>405</v>
      </c>
      <c r="F84" s="214" t="s">
        <v>14</v>
      </c>
      <c r="G84" s="185" t="s">
        <v>540</v>
      </c>
      <c r="H84" s="185" t="s">
        <v>108</v>
      </c>
      <c r="I84" s="204">
        <v>49.95</v>
      </c>
      <c r="J84" s="94">
        <v>16.874999999999996</v>
      </c>
      <c r="K84" s="100"/>
      <c r="L84" s="97">
        <f t="shared" si="1"/>
        <v>0</v>
      </c>
    </row>
    <row r="85" spans="1:12" s="17" customFormat="1" ht="36.299999999999997" customHeight="1" x14ac:dyDescent="0.3">
      <c r="A85" s="131" t="s">
        <v>124</v>
      </c>
      <c r="B85" s="131" t="s">
        <v>392</v>
      </c>
      <c r="C85" s="129" t="s">
        <v>398</v>
      </c>
      <c r="D85" s="131" t="s">
        <v>404</v>
      </c>
      <c r="E85" s="131" t="s">
        <v>358</v>
      </c>
      <c r="F85" s="131" t="s">
        <v>14</v>
      </c>
      <c r="G85" s="131" t="s">
        <v>386</v>
      </c>
      <c r="H85" s="131" t="s">
        <v>108</v>
      </c>
      <c r="I85" s="55">
        <v>59.95</v>
      </c>
      <c r="J85" s="45">
        <v>19.375</v>
      </c>
      <c r="K85" s="30"/>
      <c r="L85" s="31">
        <f t="shared" si="1"/>
        <v>0</v>
      </c>
    </row>
    <row r="86" spans="1:12" s="17" customFormat="1" ht="36.299999999999997" customHeight="1" x14ac:dyDescent="0.3">
      <c r="A86" s="131" t="s">
        <v>124</v>
      </c>
      <c r="B86" s="131" t="s">
        <v>390</v>
      </c>
      <c r="C86" s="129" t="s">
        <v>396</v>
      </c>
      <c r="D86" s="131" t="s">
        <v>402</v>
      </c>
      <c r="E86" s="131" t="s">
        <v>247</v>
      </c>
      <c r="F86" s="131" t="s">
        <v>14</v>
      </c>
      <c r="G86" s="131" t="s">
        <v>386</v>
      </c>
      <c r="H86" s="131" t="s">
        <v>108</v>
      </c>
      <c r="I86" s="55">
        <v>59.95</v>
      </c>
      <c r="J86" s="9">
        <v>19.375</v>
      </c>
      <c r="K86" s="10"/>
      <c r="L86" s="11">
        <f t="shared" si="1"/>
        <v>0</v>
      </c>
    </row>
    <row r="87" spans="1:12" s="17" customFormat="1" ht="36.299999999999997" customHeight="1" x14ac:dyDescent="0.3">
      <c r="A87" s="109" t="s">
        <v>124</v>
      </c>
      <c r="B87" s="109" t="s">
        <v>387</v>
      </c>
      <c r="C87" s="111" t="s">
        <v>393</v>
      </c>
      <c r="D87" s="109" t="s">
        <v>399</v>
      </c>
      <c r="E87" s="109" t="s">
        <v>165</v>
      </c>
      <c r="F87" s="109" t="s">
        <v>14</v>
      </c>
      <c r="G87" s="109" t="s">
        <v>386</v>
      </c>
      <c r="H87" s="109" t="s">
        <v>108</v>
      </c>
      <c r="I87" s="14">
        <v>59.95</v>
      </c>
      <c r="J87" s="9">
        <v>19.375</v>
      </c>
      <c r="K87" s="10"/>
      <c r="L87" s="11">
        <f t="shared" si="1"/>
        <v>0</v>
      </c>
    </row>
    <row r="88" spans="1:12" s="17" customFormat="1" ht="36.299999999999997" customHeight="1" x14ac:dyDescent="0.3">
      <c r="A88" s="109" t="s">
        <v>124</v>
      </c>
      <c r="B88" s="109" t="s">
        <v>388</v>
      </c>
      <c r="C88" s="111" t="s">
        <v>394</v>
      </c>
      <c r="D88" s="109" t="s">
        <v>400</v>
      </c>
      <c r="E88" s="109" t="s">
        <v>252</v>
      </c>
      <c r="F88" s="109" t="s">
        <v>14</v>
      </c>
      <c r="G88" s="109" t="s">
        <v>386</v>
      </c>
      <c r="H88" s="109" t="s">
        <v>108</v>
      </c>
      <c r="I88" s="14">
        <v>59.95</v>
      </c>
      <c r="J88" s="9">
        <v>19.375</v>
      </c>
      <c r="K88" s="10"/>
      <c r="L88" s="11">
        <f t="shared" si="1"/>
        <v>0</v>
      </c>
    </row>
    <row r="89" spans="1:12" s="17" customFormat="1" ht="36.299999999999997" customHeight="1" x14ac:dyDescent="0.3">
      <c r="A89" s="109" t="s">
        <v>124</v>
      </c>
      <c r="B89" s="109" t="s">
        <v>391</v>
      </c>
      <c r="C89" s="111" t="s">
        <v>397</v>
      </c>
      <c r="D89" s="109" t="s">
        <v>403</v>
      </c>
      <c r="E89" s="109" t="s">
        <v>251</v>
      </c>
      <c r="F89" s="109" t="s">
        <v>14</v>
      </c>
      <c r="G89" s="109" t="s">
        <v>386</v>
      </c>
      <c r="H89" s="109" t="s">
        <v>108</v>
      </c>
      <c r="I89" s="14">
        <v>59.95</v>
      </c>
      <c r="J89" s="9">
        <v>19.375</v>
      </c>
      <c r="K89" s="10"/>
      <c r="L89" s="11">
        <f t="shared" si="1"/>
        <v>0</v>
      </c>
    </row>
    <row r="90" spans="1:12" s="12" customFormat="1" ht="36.299999999999997" customHeight="1" thickBot="1" x14ac:dyDescent="0.35">
      <c r="A90" s="142" t="s">
        <v>124</v>
      </c>
      <c r="B90" s="142" t="s">
        <v>389</v>
      </c>
      <c r="C90" s="145" t="s">
        <v>395</v>
      </c>
      <c r="D90" s="142" t="s">
        <v>401</v>
      </c>
      <c r="E90" s="142" t="s">
        <v>405</v>
      </c>
      <c r="F90" s="142" t="s">
        <v>14</v>
      </c>
      <c r="G90" s="142" t="s">
        <v>386</v>
      </c>
      <c r="H90" s="142" t="s">
        <v>108</v>
      </c>
      <c r="I90" s="72">
        <v>59.95</v>
      </c>
      <c r="J90" s="18">
        <v>19.375</v>
      </c>
      <c r="K90" s="19"/>
      <c r="L90" s="20">
        <f t="shared" si="1"/>
        <v>0</v>
      </c>
    </row>
    <row r="91" spans="1:12" s="12" customFormat="1" ht="36.299999999999997" customHeight="1" x14ac:dyDescent="0.3">
      <c r="A91" s="137" t="s">
        <v>124</v>
      </c>
      <c r="B91" s="137">
        <v>1850401964</v>
      </c>
      <c r="C91" s="140">
        <v>848869024146</v>
      </c>
      <c r="D91" s="137" t="s">
        <v>191</v>
      </c>
      <c r="E91" s="137" t="s">
        <v>82</v>
      </c>
      <c r="F91" s="137" t="s">
        <v>14</v>
      </c>
      <c r="G91" s="137" t="s">
        <v>192</v>
      </c>
      <c r="H91" s="137" t="s">
        <v>108</v>
      </c>
      <c r="I91" s="46">
        <v>49.95</v>
      </c>
      <c r="J91" s="9">
        <v>16.874999999999996</v>
      </c>
      <c r="K91" s="10"/>
      <c r="L91" s="11">
        <f t="shared" si="1"/>
        <v>0</v>
      </c>
    </row>
    <row r="92" spans="1:12" s="53" customFormat="1" ht="36.299999999999997" customHeight="1" x14ac:dyDescent="0.3">
      <c r="A92" s="109" t="s">
        <v>124</v>
      </c>
      <c r="B92" s="109" t="s">
        <v>204</v>
      </c>
      <c r="C92" s="111" t="s">
        <v>205</v>
      </c>
      <c r="D92" s="109" t="s">
        <v>206</v>
      </c>
      <c r="E92" s="109" t="s">
        <v>207</v>
      </c>
      <c r="F92" s="109" t="s">
        <v>14</v>
      </c>
      <c r="G92" s="109" t="s">
        <v>192</v>
      </c>
      <c r="H92" s="109" t="s">
        <v>108</v>
      </c>
      <c r="I92" s="26">
        <v>49.95</v>
      </c>
      <c r="J92" s="9">
        <v>16.874999999999996</v>
      </c>
      <c r="K92" s="10"/>
      <c r="L92" s="11">
        <f t="shared" si="1"/>
        <v>0</v>
      </c>
    </row>
    <row r="93" spans="1:12" s="12" customFormat="1" ht="36.299999999999997" customHeight="1" x14ac:dyDescent="0.3">
      <c r="A93" s="131" t="s">
        <v>124</v>
      </c>
      <c r="B93" s="131">
        <v>1850510551</v>
      </c>
      <c r="C93" s="129">
        <v>848869027789</v>
      </c>
      <c r="D93" s="131" t="s">
        <v>371</v>
      </c>
      <c r="E93" s="131" t="s">
        <v>13</v>
      </c>
      <c r="F93" s="131" t="s">
        <v>14</v>
      </c>
      <c r="G93" s="131" t="s">
        <v>192</v>
      </c>
      <c r="H93" s="131" t="s">
        <v>108</v>
      </c>
      <c r="I93" s="206">
        <v>79.95</v>
      </c>
      <c r="J93" s="9">
        <v>28.437499999999996</v>
      </c>
      <c r="K93" s="10"/>
      <c r="L93" s="11">
        <f t="shared" si="1"/>
        <v>0</v>
      </c>
    </row>
    <row r="94" spans="1:12" s="12" customFormat="1" ht="36.299999999999997" customHeight="1" x14ac:dyDescent="0.3">
      <c r="A94" s="109" t="s">
        <v>124</v>
      </c>
      <c r="B94" s="109" t="s">
        <v>208</v>
      </c>
      <c r="C94" s="111" t="s">
        <v>209</v>
      </c>
      <c r="D94" s="109" t="s">
        <v>210</v>
      </c>
      <c r="E94" s="109" t="s">
        <v>249</v>
      </c>
      <c r="F94" s="109" t="s">
        <v>14</v>
      </c>
      <c r="G94" s="109" t="s">
        <v>192</v>
      </c>
      <c r="H94" s="109" t="s">
        <v>108</v>
      </c>
      <c r="I94" s="26">
        <v>49.95</v>
      </c>
      <c r="J94" s="9">
        <v>16.874999999999996</v>
      </c>
      <c r="K94" s="10"/>
      <c r="L94" s="11">
        <f t="shared" si="1"/>
        <v>0</v>
      </c>
    </row>
    <row r="95" spans="1:12" s="12" customFormat="1" ht="36.299999999999997" customHeight="1" x14ac:dyDescent="0.3">
      <c r="A95" s="109" t="s">
        <v>124</v>
      </c>
      <c r="B95" s="109" t="s">
        <v>201</v>
      </c>
      <c r="C95" s="111" t="s">
        <v>202</v>
      </c>
      <c r="D95" s="109" t="s">
        <v>203</v>
      </c>
      <c r="E95" s="109" t="s">
        <v>250</v>
      </c>
      <c r="F95" s="109" t="s">
        <v>14</v>
      </c>
      <c r="G95" s="109" t="s">
        <v>192</v>
      </c>
      <c r="H95" s="109" t="s">
        <v>108</v>
      </c>
      <c r="I95" s="26">
        <v>49.95</v>
      </c>
      <c r="J95" s="9">
        <v>16.874999999999996</v>
      </c>
      <c r="K95" s="10"/>
      <c r="L95" s="11">
        <f t="shared" si="1"/>
        <v>0</v>
      </c>
    </row>
    <row r="96" spans="1:12" s="12" customFormat="1" ht="36.299999999999997" customHeight="1" x14ac:dyDescent="0.3">
      <c r="A96" s="109" t="s">
        <v>124</v>
      </c>
      <c r="B96" s="109">
        <v>1850509053</v>
      </c>
      <c r="C96" s="111">
        <v>848869027772</v>
      </c>
      <c r="D96" s="109" t="s">
        <v>369</v>
      </c>
      <c r="E96" s="109" t="s">
        <v>370</v>
      </c>
      <c r="F96" s="109" t="s">
        <v>14</v>
      </c>
      <c r="G96" s="109" t="s">
        <v>192</v>
      </c>
      <c r="H96" s="109" t="s">
        <v>108</v>
      </c>
      <c r="I96" s="26">
        <v>79.95</v>
      </c>
      <c r="J96" s="9">
        <v>28.437499999999996</v>
      </c>
      <c r="K96" s="10"/>
      <c r="L96" s="11">
        <f t="shared" si="1"/>
        <v>0</v>
      </c>
    </row>
    <row r="97" spans="1:12" s="12" customFormat="1" ht="36.299999999999997" customHeight="1" x14ac:dyDescent="0.3">
      <c r="A97" s="109" t="s">
        <v>124</v>
      </c>
      <c r="B97" s="166" t="s">
        <v>310</v>
      </c>
      <c r="C97" s="140" t="s">
        <v>311</v>
      </c>
      <c r="D97" s="137" t="s">
        <v>312</v>
      </c>
      <c r="E97" s="137" t="s">
        <v>252</v>
      </c>
      <c r="F97" s="137" t="s">
        <v>14</v>
      </c>
      <c r="G97" s="137" t="s">
        <v>192</v>
      </c>
      <c r="H97" s="137" t="s">
        <v>108</v>
      </c>
      <c r="I97" s="66">
        <v>49.95</v>
      </c>
      <c r="J97" s="9">
        <v>16.874999999999996</v>
      </c>
      <c r="K97" s="10"/>
      <c r="L97" s="11">
        <f t="shared" si="1"/>
        <v>0</v>
      </c>
    </row>
    <row r="98" spans="1:12" s="67" customFormat="1" ht="36.299999999999997" customHeight="1" x14ac:dyDescent="0.3">
      <c r="A98" s="109" t="s">
        <v>124</v>
      </c>
      <c r="B98" s="166" t="s">
        <v>193</v>
      </c>
      <c r="C98" s="140" t="s">
        <v>194</v>
      </c>
      <c r="D98" s="137" t="s">
        <v>195</v>
      </c>
      <c r="E98" s="137" t="s">
        <v>251</v>
      </c>
      <c r="F98" s="137" t="s">
        <v>14</v>
      </c>
      <c r="G98" s="137" t="s">
        <v>192</v>
      </c>
      <c r="H98" s="137" t="s">
        <v>108</v>
      </c>
      <c r="I98" s="66">
        <v>49.95</v>
      </c>
      <c r="J98" s="9">
        <v>16.874999999999996</v>
      </c>
      <c r="K98" s="10"/>
      <c r="L98" s="11">
        <f t="shared" si="1"/>
        <v>0</v>
      </c>
    </row>
    <row r="99" spans="1:12" s="67" customFormat="1" ht="36.299999999999997" customHeight="1" x14ac:dyDescent="0.3">
      <c r="A99" s="109" t="s">
        <v>124</v>
      </c>
      <c r="B99" s="166">
        <v>1850407493</v>
      </c>
      <c r="C99" s="140" t="s">
        <v>199</v>
      </c>
      <c r="D99" s="137" t="s">
        <v>200</v>
      </c>
      <c r="E99" s="137" t="s">
        <v>252</v>
      </c>
      <c r="F99" s="137" t="s">
        <v>14</v>
      </c>
      <c r="G99" s="137" t="s">
        <v>192</v>
      </c>
      <c r="H99" s="137" t="s">
        <v>108</v>
      </c>
      <c r="I99" s="66">
        <v>49.95</v>
      </c>
      <c r="J99" s="9">
        <v>16.874999999999996</v>
      </c>
      <c r="K99" s="10"/>
      <c r="L99" s="11">
        <f t="shared" si="1"/>
        <v>0</v>
      </c>
    </row>
    <row r="100" spans="1:12" s="67" customFormat="1" ht="36.299999999999997" customHeight="1" x14ac:dyDescent="0.3">
      <c r="A100" s="109" t="s">
        <v>124</v>
      </c>
      <c r="B100" s="166" t="s">
        <v>277</v>
      </c>
      <c r="C100" s="140" t="s">
        <v>280</v>
      </c>
      <c r="D100" s="137" t="s">
        <v>278</v>
      </c>
      <c r="E100" s="137" t="s">
        <v>279</v>
      </c>
      <c r="F100" s="137" t="s">
        <v>14</v>
      </c>
      <c r="G100" s="137" t="s">
        <v>192</v>
      </c>
      <c r="H100" s="137" t="s">
        <v>108</v>
      </c>
      <c r="I100" s="66">
        <v>49.95</v>
      </c>
      <c r="J100" s="9">
        <v>16.874999999999996</v>
      </c>
      <c r="K100" s="10"/>
      <c r="L100" s="11">
        <f t="shared" si="1"/>
        <v>0</v>
      </c>
    </row>
    <row r="101" spans="1:12" s="67" customFormat="1" ht="36.299999999999997" customHeight="1" x14ac:dyDescent="0.3">
      <c r="A101" s="137" t="s">
        <v>124</v>
      </c>
      <c r="B101" s="166">
        <v>1850405373</v>
      </c>
      <c r="C101" s="140">
        <v>848869027000</v>
      </c>
      <c r="D101" s="137" t="s">
        <v>198</v>
      </c>
      <c r="E101" s="137" t="s">
        <v>76</v>
      </c>
      <c r="F101" s="137" t="s">
        <v>14</v>
      </c>
      <c r="G101" s="137" t="s">
        <v>192</v>
      </c>
      <c r="H101" s="137" t="s">
        <v>108</v>
      </c>
      <c r="I101" s="66">
        <v>49.95</v>
      </c>
      <c r="J101" s="9">
        <v>16.874999999999996</v>
      </c>
      <c r="K101" s="10"/>
      <c r="L101" s="11">
        <f t="shared" si="1"/>
        <v>0</v>
      </c>
    </row>
    <row r="102" spans="1:12" s="67" customFormat="1" ht="36.299999999999997" customHeight="1" thickBot="1" x14ac:dyDescent="0.35">
      <c r="A102" s="142" t="s">
        <v>124</v>
      </c>
      <c r="B102" s="215" t="s">
        <v>196</v>
      </c>
      <c r="C102" s="145" t="s">
        <v>197</v>
      </c>
      <c r="D102" s="142" t="s">
        <v>198</v>
      </c>
      <c r="E102" s="142" t="s">
        <v>188</v>
      </c>
      <c r="F102" s="142" t="s">
        <v>14</v>
      </c>
      <c r="G102" s="142" t="s">
        <v>192</v>
      </c>
      <c r="H102" s="142" t="s">
        <v>108</v>
      </c>
      <c r="I102" s="72">
        <v>49.95</v>
      </c>
      <c r="J102" s="18">
        <v>16.874999999999996</v>
      </c>
      <c r="K102" s="19"/>
      <c r="L102" s="20">
        <f t="shared" si="1"/>
        <v>0</v>
      </c>
    </row>
    <row r="103" spans="1:12" s="12" customFormat="1" ht="36.299999999999997" customHeight="1" x14ac:dyDescent="0.3">
      <c r="A103" s="151" t="s">
        <v>124</v>
      </c>
      <c r="B103" s="167">
        <v>1770410592</v>
      </c>
      <c r="C103" s="168">
        <v>848869022166</v>
      </c>
      <c r="D103" s="68" t="s">
        <v>146</v>
      </c>
      <c r="E103" s="151" t="s">
        <v>12</v>
      </c>
      <c r="F103" s="151" t="s">
        <v>14</v>
      </c>
      <c r="G103" s="68" t="s">
        <v>147</v>
      </c>
      <c r="H103" s="68" t="s">
        <v>109</v>
      </c>
      <c r="I103" s="54">
        <v>49.95</v>
      </c>
      <c r="J103" s="22">
        <v>16.25</v>
      </c>
      <c r="K103" s="23">
        <v>4</v>
      </c>
      <c r="L103" s="24">
        <f t="shared" si="1"/>
        <v>65</v>
      </c>
    </row>
    <row r="104" spans="1:12" s="12" customFormat="1" ht="36.299999999999997" customHeight="1" x14ac:dyDescent="0.3">
      <c r="A104" s="109" t="s">
        <v>124</v>
      </c>
      <c r="B104" s="169">
        <v>1770400281</v>
      </c>
      <c r="C104" s="170">
        <v>848869022159</v>
      </c>
      <c r="D104" s="13" t="s">
        <v>143</v>
      </c>
      <c r="E104" s="109" t="s">
        <v>248</v>
      </c>
      <c r="F104" s="109" t="s">
        <v>14</v>
      </c>
      <c r="G104" s="13" t="s">
        <v>147</v>
      </c>
      <c r="H104" s="13" t="s">
        <v>109</v>
      </c>
      <c r="I104" s="14">
        <v>49.95</v>
      </c>
      <c r="J104" s="9">
        <v>16.25</v>
      </c>
      <c r="K104" s="10">
        <v>4</v>
      </c>
      <c r="L104" s="11">
        <f t="shared" si="1"/>
        <v>65</v>
      </c>
    </row>
    <row r="105" spans="1:12" s="17" customFormat="1" ht="36.299999999999997" customHeight="1" x14ac:dyDescent="0.3">
      <c r="A105" s="109" t="s">
        <v>124</v>
      </c>
      <c r="B105" s="109">
        <v>1770400259</v>
      </c>
      <c r="C105" s="111">
        <v>848869022111</v>
      </c>
      <c r="D105" s="109" t="s">
        <v>142</v>
      </c>
      <c r="E105" s="109" t="s">
        <v>69</v>
      </c>
      <c r="F105" s="109" t="s">
        <v>14</v>
      </c>
      <c r="G105" s="109" t="s">
        <v>147</v>
      </c>
      <c r="H105" s="109" t="s">
        <v>109</v>
      </c>
      <c r="I105" s="216">
        <v>59.95</v>
      </c>
      <c r="J105" s="69">
        <v>19.375</v>
      </c>
      <c r="K105" s="70"/>
      <c r="L105" s="11">
        <f t="shared" si="1"/>
        <v>0</v>
      </c>
    </row>
    <row r="106" spans="1:12" s="17" customFormat="1" ht="36.299999999999997" customHeight="1" x14ac:dyDescent="0.3">
      <c r="A106" s="109" t="s">
        <v>124</v>
      </c>
      <c r="B106" s="169">
        <v>1770402878</v>
      </c>
      <c r="C106" s="170">
        <v>848869022142</v>
      </c>
      <c r="D106" s="13" t="s">
        <v>145</v>
      </c>
      <c r="E106" s="109" t="s">
        <v>249</v>
      </c>
      <c r="F106" s="109" t="s">
        <v>14</v>
      </c>
      <c r="G106" s="13" t="s">
        <v>147</v>
      </c>
      <c r="H106" s="13" t="s">
        <v>109</v>
      </c>
      <c r="I106" s="14">
        <v>49.95</v>
      </c>
      <c r="J106" s="9">
        <v>16.25</v>
      </c>
      <c r="K106" s="10">
        <v>4</v>
      </c>
      <c r="L106" s="11">
        <f t="shared" si="1"/>
        <v>65</v>
      </c>
    </row>
    <row r="107" spans="1:12" s="17" customFormat="1" ht="36.299999999999997" customHeight="1" x14ac:dyDescent="0.3">
      <c r="A107" s="109" t="s">
        <v>124</v>
      </c>
      <c r="B107" s="169">
        <v>1770401057</v>
      </c>
      <c r="C107" s="170">
        <v>848869022135</v>
      </c>
      <c r="D107" s="13" t="s">
        <v>144</v>
      </c>
      <c r="E107" s="109" t="s">
        <v>256</v>
      </c>
      <c r="F107" s="109" t="s">
        <v>14</v>
      </c>
      <c r="G107" s="13" t="s">
        <v>147</v>
      </c>
      <c r="H107" s="13" t="s">
        <v>109</v>
      </c>
      <c r="I107" s="14">
        <v>49.95</v>
      </c>
      <c r="J107" s="9">
        <v>16.25</v>
      </c>
      <c r="K107" s="10"/>
      <c r="L107" s="11">
        <f t="shared" si="1"/>
        <v>0</v>
      </c>
    </row>
    <row r="108" spans="1:12" s="17" customFormat="1" ht="36.299999999999997" customHeight="1" thickBot="1" x14ac:dyDescent="0.35">
      <c r="A108" s="142" t="s">
        <v>124</v>
      </c>
      <c r="B108" s="171">
        <v>1770501050</v>
      </c>
      <c r="C108" s="172">
        <v>848869022739</v>
      </c>
      <c r="D108" s="71" t="s">
        <v>144</v>
      </c>
      <c r="E108" s="142" t="s">
        <v>141</v>
      </c>
      <c r="F108" s="142" t="s">
        <v>17</v>
      </c>
      <c r="G108" s="71" t="s">
        <v>147</v>
      </c>
      <c r="H108" s="71" t="s">
        <v>109</v>
      </c>
      <c r="I108" s="72">
        <v>79.95</v>
      </c>
      <c r="J108" s="18">
        <v>28.437499999999996</v>
      </c>
      <c r="K108" s="19"/>
      <c r="L108" s="20">
        <f t="shared" si="1"/>
        <v>0</v>
      </c>
    </row>
    <row r="109" spans="1:12" s="17" customFormat="1" ht="36.299999999999997" customHeight="1" x14ac:dyDescent="0.3">
      <c r="A109" s="151" t="s">
        <v>124</v>
      </c>
      <c r="B109" s="167" t="s">
        <v>268</v>
      </c>
      <c r="C109" s="168">
        <v>848869025440</v>
      </c>
      <c r="D109" s="68" t="s">
        <v>272</v>
      </c>
      <c r="E109" s="151" t="s">
        <v>247</v>
      </c>
      <c r="F109" s="151" t="s">
        <v>14</v>
      </c>
      <c r="G109" s="68" t="s">
        <v>276</v>
      </c>
      <c r="H109" s="68" t="s">
        <v>108</v>
      </c>
      <c r="I109" s="54">
        <v>49.95</v>
      </c>
      <c r="J109" s="22">
        <v>16.874999999999996</v>
      </c>
      <c r="K109" s="23"/>
      <c r="L109" s="24">
        <f t="shared" si="1"/>
        <v>0</v>
      </c>
    </row>
    <row r="110" spans="1:12" s="17" customFormat="1" ht="36.299999999999997" customHeight="1" x14ac:dyDescent="0.3">
      <c r="A110" s="109" t="s">
        <v>124</v>
      </c>
      <c r="B110" s="169" t="s">
        <v>269</v>
      </c>
      <c r="C110" s="170">
        <v>848869025426</v>
      </c>
      <c r="D110" s="13" t="s">
        <v>273</v>
      </c>
      <c r="E110" s="109" t="s">
        <v>165</v>
      </c>
      <c r="F110" s="109" t="s">
        <v>14</v>
      </c>
      <c r="G110" s="13" t="s">
        <v>276</v>
      </c>
      <c r="H110" s="13" t="s">
        <v>108</v>
      </c>
      <c r="I110" s="14">
        <v>49.95</v>
      </c>
      <c r="J110" s="9">
        <v>16.874999999999996</v>
      </c>
      <c r="K110" s="10"/>
      <c r="L110" s="11">
        <f t="shared" si="1"/>
        <v>0</v>
      </c>
    </row>
    <row r="111" spans="1:12" s="17" customFormat="1" ht="36.299999999999997" customHeight="1" x14ac:dyDescent="0.3">
      <c r="A111" s="109" t="s">
        <v>124</v>
      </c>
      <c r="B111" s="169" t="s">
        <v>270</v>
      </c>
      <c r="C111" s="170">
        <v>848869025457</v>
      </c>
      <c r="D111" s="13" t="s">
        <v>274</v>
      </c>
      <c r="E111" s="109" t="s">
        <v>11</v>
      </c>
      <c r="F111" s="109" t="s">
        <v>14</v>
      </c>
      <c r="G111" s="13" t="s">
        <v>276</v>
      </c>
      <c r="H111" s="13" t="s">
        <v>108</v>
      </c>
      <c r="I111" s="14">
        <v>49.95</v>
      </c>
      <c r="J111" s="9">
        <v>16.874999999999996</v>
      </c>
      <c r="K111" s="10"/>
      <c r="L111" s="11">
        <f t="shared" si="1"/>
        <v>0</v>
      </c>
    </row>
    <row r="112" spans="1:12" s="17" customFormat="1" ht="36.299999999999997" customHeight="1" thickBot="1" x14ac:dyDescent="0.35">
      <c r="A112" s="142" t="s">
        <v>124</v>
      </c>
      <c r="B112" s="171" t="s">
        <v>271</v>
      </c>
      <c r="C112" s="172">
        <v>848869025433</v>
      </c>
      <c r="D112" s="71" t="s">
        <v>275</v>
      </c>
      <c r="E112" s="142" t="s">
        <v>250</v>
      </c>
      <c r="F112" s="142" t="s">
        <v>14</v>
      </c>
      <c r="G112" s="71" t="s">
        <v>276</v>
      </c>
      <c r="H112" s="71" t="s">
        <v>108</v>
      </c>
      <c r="I112" s="72">
        <v>49.95</v>
      </c>
      <c r="J112" s="18">
        <v>16.874999999999996</v>
      </c>
      <c r="K112" s="19"/>
      <c r="L112" s="20">
        <f t="shared" si="1"/>
        <v>0</v>
      </c>
    </row>
    <row r="113" spans="1:12" s="17" customFormat="1" ht="36.299999999999997" customHeight="1" x14ac:dyDescent="0.3">
      <c r="A113" s="151" t="s">
        <v>124</v>
      </c>
      <c r="B113" s="167" t="s">
        <v>373</v>
      </c>
      <c r="C113" s="168" t="s">
        <v>377</v>
      </c>
      <c r="D113" s="68" t="s">
        <v>381</v>
      </c>
      <c r="E113" s="151" t="s">
        <v>133</v>
      </c>
      <c r="F113" s="151" t="s">
        <v>14</v>
      </c>
      <c r="G113" s="68" t="s">
        <v>385</v>
      </c>
      <c r="H113" s="68" t="s">
        <v>108</v>
      </c>
      <c r="I113" s="21">
        <v>44.95</v>
      </c>
      <c r="J113" s="22">
        <v>16.25</v>
      </c>
      <c r="K113" s="23"/>
      <c r="L113" s="24">
        <f t="shared" si="1"/>
        <v>0</v>
      </c>
    </row>
    <row r="114" spans="1:12" s="17" customFormat="1" ht="36.299999999999997" customHeight="1" x14ac:dyDescent="0.3">
      <c r="A114" s="109" t="s">
        <v>124</v>
      </c>
      <c r="B114" s="169" t="s">
        <v>374</v>
      </c>
      <c r="C114" s="170" t="s">
        <v>378</v>
      </c>
      <c r="D114" s="13" t="s">
        <v>382</v>
      </c>
      <c r="E114" s="109" t="s">
        <v>384</v>
      </c>
      <c r="F114" s="109" t="s">
        <v>14</v>
      </c>
      <c r="G114" s="13" t="s">
        <v>385</v>
      </c>
      <c r="H114" s="13" t="s">
        <v>108</v>
      </c>
      <c r="I114" s="26">
        <v>44.95</v>
      </c>
      <c r="J114" s="9">
        <v>16.25</v>
      </c>
      <c r="K114" s="10"/>
      <c r="L114" s="11">
        <f t="shared" si="1"/>
        <v>0</v>
      </c>
    </row>
    <row r="115" spans="1:12" s="17" customFormat="1" ht="36.299999999999997" customHeight="1" x14ac:dyDescent="0.3">
      <c r="A115" s="109" t="s">
        <v>124</v>
      </c>
      <c r="B115" s="169" t="s">
        <v>372</v>
      </c>
      <c r="C115" s="170" t="s">
        <v>376</v>
      </c>
      <c r="D115" s="13" t="s">
        <v>380</v>
      </c>
      <c r="E115" s="109" t="s">
        <v>158</v>
      </c>
      <c r="F115" s="109" t="s">
        <v>14</v>
      </c>
      <c r="G115" s="13" t="s">
        <v>385</v>
      </c>
      <c r="H115" s="13" t="s">
        <v>108</v>
      </c>
      <c r="I115" s="26">
        <v>44.95</v>
      </c>
      <c r="J115" s="9">
        <v>16.25</v>
      </c>
      <c r="K115" s="10"/>
      <c r="L115" s="11">
        <f t="shared" si="1"/>
        <v>0</v>
      </c>
    </row>
    <row r="116" spans="1:12" s="17" customFormat="1" ht="36.299999999999997" customHeight="1" x14ac:dyDescent="0.3">
      <c r="A116" s="109" t="s">
        <v>124</v>
      </c>
      <c r="B116" s="169" t="s">
        <v>430</v>
      </c>
      <c r="C116" s="170">
        <v>848869029226</v>
      </c>
      <c r="D116" s="13" t="s">
        <v>431</v>
      </c>
      <c r="E116" s="109" t="s">
        <v>33</v>
      </c>
      <c r="F116" s="109" t="s">
        <v>17</v>
      </c>
      <c r="G116" s="13" t="s">
        <v>385</v>
      </c>
      <c r="H116" s="13" t="s">
        <v>108</v>
      </c>
      <c r="I116" s="44">
        <v>74.95</v>
      </c>
      <c r="J116" s="9">
        <v>26.562499999999996</v>
      </c>
      <c r="K116" s="10"/>
      <c r="L116" s="11">
        <f t="shared" si="1"/>
        <v>0</v>
      </c>
    </row>
    <row r="117" spans="1:12" s="17" customFormat="1" ht="36.299999999999997" customHeight="1" thickBot="1" x14ac:dyDescent="0.35">
      <c r="A117" s="155" t="s">
        <v>124</v>
      </c>
      <c r="B117" s="173" t="s">
        <v>375</v>
      </c>
      <c r="C117" s="174" t="s">
        <v>379</v>
      </c>
      <c r="D117" s="73" t="s">
        <v>383</v>
      </c>
      <c r="E117" s="155" t="s">
        <v>165</v>
      </c>
      <c r="F117" s="155" t="s">
        <v>14</v>
      </c>
      <c r="G117" s="73" t="s">
        <v>385</v>
      </c>
      <c r="H117" s="73" t="s">
        <v>108</v>
      </c>
      <c r="I117" s="74">
        <v>44.95</v>
      </c>
      <c r="J117" s="18">
        <v>16.25</v>
      </c>
      <c r="K117" s="19"/>
      <c r="L117" s="20">
        <f t="shared" si="1"/>
        <v>0</v>
      </c>
    </row>
    <row r="118" spans="1:12" s="17" customFormat="1" ht="36.299999999999997" customHeight="1" x14ac:dyDescent="0.3">
      <c r="A118" s="131" t="s">
        <v>124</v>
      </c>
      <c r="B118" s="175" t="s">
        <v>101</v>
      </c>
      <c r="C118" s="176">
        <v>810067610124</v>
      </c>
      <c r="D118" s="75" t="s">
        <v>102</v>
      </c>
      <c r="E118" s="131" t="s">
        <v>90</v>
      </c>
      <c r="F118" s="131" t="s">
        <v>14</v>
      </c>
      <c r="G118" s="75" t="s">
        <v>98</v>
      </c>
      <c r="H118" s="75" t="s">
        <v>110</v>
      </c>
      <c r="I118" s="55">
        <v>39.950000000000003</v>
      </c>
      <c r="J118" s="22">
        <v>15.624999999999998</v>
      </c>
      <c r="K118" s="23"/>
      <c r="L118" s="24">
        <f t="shared" si="1"/>
        <v>0</v>
      </c>
    </row>
    <row r="119" spans="1:12" s="17" customFormat="1" ht="36.299999999999997" customHeight="1" x14ac:dyDescent="0.3">
      <c r="A119" s="131" t="s">
        <v>124</v>
      </c>
      <c r="B119" s="175" t="s">
        <v>100</v>
      </c>
      <c r="C119" s="176">
        <v>810067610100</v>
      </c>
      <c r="D119" s="75" t="s">
        <v>254</v>
      </c>
      <c r="E119" s="131" t="s">
        <v>248</v>
      </c>
      <c r="F119" s="131" t="s">
        <v>14</v>
      </c>
      <c r="G119" s="75" t="s">
        <v>98</v>
      </c>
      <c r="H119" s="75" t="s">
        <v>110</v>
      </c>
      <c r="I119" s="55">
        <v>39.950000000000003</v>
      </c>
      <c r="J119" s="9">
        <v>15.624999999999998</v>
      </c>
      <c r="K119" s="10"/>
      <c r="L119" s="11">
        <f t="shared" si="1"/>
        <v>0</v>
      </c>
    </row>
    <row r="120" spans="1:12" s="12" customFormat="1" ht="36.299999999999997" customHeight="1" thickBot="1" x14ac:dyDescent="0.35">
      <c r="A120" s="109" t="s">
        <v>124</v>
      </c>
      <c r="B120" s="169" t="s">
        <v>99</v>
      </c>
      <c r="C120" s="170">
        <v>810067610094</v>
      </c>
      <c r="D120" s="13" t="s">
        <v>253</v>
      </c>
      <c r="E120" s="109" t="s">
        <v>249</v>
      </c>
      <c r="F120" s="109" t="s">
        <v>14</v>
      </c>
      <c r="G120" s="13" t="s">
        <v>98</v>
      </c>
      <c r="H120" s="13" t="s">
        <v>110</v>
      </c>
      <c r="I120" s="14">
        <v>39.950000000000003</v>
      </c>
      <c r="J120" s="9">
        <v>15.624999999999998</v>
      </c>
      <c r="K120" s="10"/>
      <c r="L120" s="11">
        <f t="shared" si="1"/>
        <v>0</v>
      </c>
    </row>
    <row r="121" spans="1:12" s="12" customFormat="1" ht="36.299999999999997" customHeight="1" x14ac:dyDescent="0.3">
      <c r="A121" s="151" t="s">
        <v>124</v>
      </c>
      <c r="B121" s="167" t="s">
        <v>187</v>
      </c>
      <c r="C121" s="168">
        <v>848869023026</v>
      </c>
      <c r="D121" s="68" t="s">
        <v>186</v>
      </c>
      <c r="E121" s="151" t="s">
        <v>82</v>
      </c>
      <c r="F121" s="68" t="s">
        <v>14</v>
      </c>
      <c r="G121" s="68" t="s">
        <v>159</v>
      </c>
      <c r="H121" s="68" t="s">
        <v>108</v>
      </c>
      <c r="I121" s="54">
        <v>44.95</v>
      </c>
      <c r="J121" s="107">
        <v>16.25</v>
      </c>
      <c r="K121" s="23"/>
      <c r="L121" s="24">
        <f t="shared" ref="L121:L166" si="3">K121*J121</f>
        <v>0</v>
      </c>
    </row>
    <row r="122" spans="1:12" s="12" customFormat="1" ht="31.5" customHeight="1" x14ac:dyDescent="0.3">
      <c r="A122" s="109" t="s">
        <v>124</v>
      </c>
      <c r="B122" s="169">
        <v>1790410592</v>
      </c>
      <c r="C122" s="170">
        <v>848869022210</v>
      </c>
      <c r="D122" s="13" t="s">
        <v>156</v>
      </c>
      <c r="E122" s="109" t="s">
        <v>90</v>
      </c>
      <c r="F122" s="13" t="s">
        <v>14</v>
      </c>
      <c r="G122" s="13" t="s">
        <v>159</v>
      </c>
      <c r="H122" s="13" t="s">
        <v>108</v>
      </c>
      <c r="I122" s="14">
        <v>44.95</v>
      </c>
      <c r="J122" s="32">
        <v>16.25</v>
      </c>
      <c r="K122" s="10"/>
      <c r="L122" s="11">
        <f t="shared" si="3"/>
        <v>0</v>
      </c>
    </row>
    <row r="123" spans="1:12" s="12" customFormat="1" ht="36.299999999999997" customHeight="1" x14ac:dyDescent="0.3">
      <c r="A123" s="109" t="s">
        <v>124</v>
      </c>
      <c r="B123" s="169">
        <v>1790406145</v>
      </c>
      <c r="C123" s="170">
        <v>848869022234</v>
      </c>
      <c r="D123" s="13" t="s">
        <v>155</v>
      </c>
      <c r="E123" s="109" t="s">
        <v>133</v>
      </c>
      <c r="F123" s="13" t="s">
        <v>14</v>
      </c>
      <c r="G123" s="13" t="s">
        <v>159</v>
      </c>
      <c r="H123" s="13" t="s">
        <v>108</v>
      </c>
      <c r="I123" s="14">
        <v>44.95</v>
      </c>
      <c r="J123" s="32">
        <v>16.25</v>
      </c>
      <c r="K123" s="10"/>
      <c r="L123" s="11">
        <f t="shared" si="3"/>
        <v>0</v>
      </c>
    </row>
    <row r="124" spans="1:12" s="12" customFormat="1" ht="36.299999999999997" customHeight="1" x14ac:dyDescent="0.3">
      <c r="A124" s="109" t="s">
        <v>124</v>
      </c>
      <c r="B124" s="150" t="s">
        <v>319</v>
      </c>
      <c r="C124" s="111" t="s">
        <v>328</v>
      </c>
      <c r="D124" s="109" t="s">
        <v>331</v>
      </c>
      <c r="E124" s="111" t="s">
        <v>334</v>
      </c>
      <c r="F124" s="111" t="s">
        <v>337</v>
      </c>
      <c r="G124" s="109" t="s">
        <v>41</v>
      </c>
      <c r="H124" s="109" t="s">
        <v>108</v>
      </c>
      <c r="I124" s="14">
        <v>44.95</v>
      </c>
      <c r="J124" s="32">
        <v>16.25</v>
      </c>
      <c r="K124" s="10"/>
      <c r="L124" s="11">
        <f t="shared" si="3"/>
        <v>0</v>
      </c>
    </row>
    <row r="125" spans="1:12" s="12" customFormat="1" ht="36.299999999999997" customHeight="1" x14ac:dyDescent="0.3">
      <c r="A125" s="109" t="s">
        <v>124</v>
      </c>
      <c r="B125" s="150" t="s">
        <v>320</v>
      </c>
      <c r="C125" s="111" t="s">
        <v>329</v>
      </c>
      <c r="D125" s="109" t="s">
        <v>332</v>
      </c>
      <c r="E125" s="111" t="s">
        <v>335</v>
      </c>
      <c r="F125" s="111" t="s">
        <v>337</v>
      </c>
      <c r="G125" s="109" t="s">
        <v>41</v>
      </c>
      <c r="H125" s="109" t="s">
        <v>108</v>
      </c>
      <c r="I125" s="14">
        <v>44.95</v>
      </c>
      <c r="J125" s="32">
        <v>16.25</v>
      </c>
      <c r="K125" s="10"/>
      <c r="L125" s="11">
        <f t="shared" si="3"/>
        <v>0</v>
      </c>
    </row>
    <row r="126" spans="1:12" s="12" customFormat="1" ht="31.5" customHeight="1" x14ac:dyDescent="0.3">
      <c r="A126" s="109" t="s">
        <v>124</v>
      </c>
      <c r="B126" s="150" t="s">
        <v>321</v>
      </c>
      <c r="C126" s="111" t="s">
        <v>330</v>
      </c>
      <c r="D126" s="109" t="s">
        <v>333</v>
      </c>
      <c r="E126" s="111" t="s">
        <v>336</v>
      </c>
      <c r="F126" s="111" t="s">
        <v>337</v>
      </c>
      <c r="G126" s="109" t="s">
        <v>41</v>
      </c>
      <c r="H126" s="109" t="s">
        <v>108</v>
      </c>
      <c r="I126" s="14">
        <v>44.95</v>
      </c>
      <c r="J126" s="32">
        <v>16.25</v>
      </c>
      <c r="K126" s="10"/>
      <c r="L126" s="11">
        <f t="shared" si="3"/>
        <v>0</v>
      </c>
    </row>
    <row r="127" spans="1:12" s="12" customFormat="1" ht="31.5" customHeight="1" x14ac:dyDescent="0.3">
      <c r="A127" s="109" t="s">
        <v>124</v>
      </c>
      <c r="B127" s="169" t="s">
        <v>160</v>
      </c>
      <c r="C127" s="170">
        <v>848869023033</v>
      </c>
      <c r="D127" s="13" t="s">
        <v>157</v>
      </c>
      <c r="E127" s="109" t="s">
        <v>158</v>
      </c>
      <c r="F127" s="13" t="s">
        <v>14</v>
      </c>
      <c r="G127" s="13" t="s">
        <v>159</v>
      </c>
      <c r="H127" s="13" t="s">
        <v>108</v>
      </c>
      <c r="I127" s="26">
        <v>44.95</v>
      </c>
      <c r="J127" s="32">
        <v>16.25</v>
      </c>
      <c r="K127" s="10"/>
      <c r="L127" s="11">
        <f t="shared" si="3"/>
        <v>0</v>
      </c>
    </row>
    <row r="128" spans="1:12" s="12" customFormat="1" ht="31.5" customHeight="1" thickBot="1" x14ac:dyDescent="0.35">
      <c r="A128" s="142" t="s">
        <v>124</v>
      </c>
      <c r="B128" s="171">
        <v>1790405457</v>
      </c>
      <c r="C128" s="172">
        <v>848869022203</v>
      </c>
      <c r="D128" s="71" t="s">
        <v>154</v>
      </c>
      <c r="E128" s="142" t="s">
        <v>11</v>
      </c>
      <c r="F128" s="71" t="s">
        <v>14</v>
      </c>
      <c r="G128" s="71" t="s">
        <v>159</v>
      </c>
      <c r="H128" s="71" t="s">
        <v>108</v>
      </c>
      <c r="I128" s="57">
        <v>44.95</v>
      </c>
      <c r="J128" s="108">
        <v>16.25</v>
      </c>
      <c r="K128" s="19"/>
      <c r="L128" s="20">
        <f t="shared" si="3"/>
        <v>0</v>
      </c>
    </row>
    <row r="129" spans="1:12" s="12" customFormat="1" ht="35.549999999999997" customHeight="1" x14ac:dyDescent="0.3">
      <c r="A129" s="151" t="s">
        <v>124</v>
      </c>
      <c r="B129" s="167" t="s">
        <v>289</v>
      </c>
      <c r="C129" s="168">
        <v>848869026591</v>
      </c>
      <c r="D129" s="68" t="s">
        <v>290</v>
      </c>
      <c r="E129" s="151" t="s">
        <v>291</v>
      </c>
      <c r="F129" s="68" t="s">
        <v>18</v>
      </c>
      <c r="G129" s="68" t="s">
        <v>211</v>
      </c>
      <c r="H129" s="68" t="s">
        <v>109</v>
      </c>
      <c r="I129" s="54">
        <v>109.95</v>
      </c>
      <c r="J129" s="22">
        <v>39.0625</v>
      </c>
      <c r="K129" s="23"/>
      <c r="L129" s="24">
        <f t="shared" si="3"/>
        <v>0</v>
      </c>
    </row>
    <row r="130" spans="1:12" s="12" customFormat="1" ht="35.549999999999997" customHeight="1" x14ac:dyDescent="0.3">
      <c r="A130" s="109" t="s">
        <v>124</v>
      </c>
      <c r="B130" s="175" t="s">
        <v>212</v>
      </c>
      <c r="C130" s="176" t="s">
        <v>213</v>
      </c>
      <c r="D130" s="75" t="s">
        <v>214</v>
      </c>
      <c r="E130" s="131" t="s">
        <v>215</v>
      </c>
      <c r="F130" s="75" t="s">
        <v>16</v>
      </c>
      <c r="G130" s="75" t="s">
        <v>211</v>
      </c>
      <c r="H130" s="75" t="s">
        <v>109</v>
      </c>
      <c r="I130" s="55">
        <v>99.95</v>
      </c>
      <c r="J130" s="9">
        <v>35.312499999999993</v>
      </c>
      <c r="K130" s="10"/>
      <c r="L130" s="11">
        <f t="shared" si="3"/>
        <v>0</v>
      </c>
    </row>
    <row r="131" spans="1:12" s="12" customFormat="1" ht="35.549999999999997" customHeight="1" x14ac:dyDescent="0.3">
      <c r="A131" s="131" t="s">
        <v>124</v>
      </c>
      <c r="B131" s="175" t="s">
        <v>292</v>
      </c>
      <c r="C131" s="176">
        <v>848869026577</v>
      </c>
      <c r="D131" s="75" t="s">
        <v>293</v>
      </c>
      <c r="E131" s="131" t="s">
        <v>294</v>
      </c>
      <c r="F131" s="75" t="s">
        <v>18</v>
      </c>
      <c r="G131" s="75" t="s">
        <v>211</v>
      </c>
      <c r="H131" s="75" t="s">
        <v>109</v>
      </c>
      <c r="I131" s="55">
        <v>109.95</v>
      </c>
      <c r="J131" s="9">
        <v>39.0625</v>
      </c>
      <c r="K131" s="10"/>
      <c r="L131" s="11">
        <f t="shared" si="3"/>
        <v>0</v>
      </c>
    </row>
    <row r="132" spans="1:12" s="12" customFormat="1" ht="35.549999999999997" customHeight="1" x14ac:dyDescent="0.3">
      <c r="A132" s="109" t="s">
        <v>124</v>
      </c>
      <c r="B132" s="169" t="s">
        <v>219</v>
      </c>
      <c r="C132" s="170" t="s">
        <v>220</v>
      </c>
      <c r="D132" s="13" t="s">
        <v>221</v>
      </c>
      <c r="E132" s="109" t="s">
        <v>103</v>
      </c>
      <c r="F132" s="13" t="s">
        <v>104</v>
      </c>
      <c r="G132" s="13" t="s">
        <v>211</v>
      </c>
      <c r="H132" s="13" t="s">
        <v>109</v>
      </c>
      <c r="I132" s="14">
        <v>134.94999999999999</v>
      </c>
      <c r="J132" s="9">
        <v>46.562499999999993</v>
      </c>
      <c r="K132" s="10"/>
      <c r="L132" s="11">
        <f t="shared" si="3"/>
        <v>0</v>
      </c>
    </row>
    <row r="133" spans="1:12" s="12" customFormat="1" ht="35.549999999999997" customHeight="1" thickBot="1" x14ac:dyDescent="0.35">
      <c r="A133" s="137" t="s">
        <v>124</v>
      </c>
      <c r="B133" s="292" t="s">
        <v>216</v>
      </c>
      <c r="C133" s="293" t="s">
        <v>217</v>
      </c>
      <c r="D133" s="294" t="s">
        <v>218</v>
      </c>
      <c r="E133" s="137" t="s">
        <v>151</v>
      </c>
      <c r="F133" s="294" t="s">
        <v>104</v>
      </c>
      <c r="G133" s="294" t="s">
        <v>211</v>
      </c>
      <c r="H133" s="294" t="s">
        <v>109</v>
      </c>
      <c r="I133" s="66">
        <v>134.94999999999999</v>
      </c>
      <c r="J133" s="18">
        <v>46.562499999999993</v>
      </c>
      <c r="K133" s="19"/>
      <c r="L133" s="20">
        <f t="shared" si="3"/>
        <v>0</v>
      </c>
    </row>
    <row r="134" spans="1:12" s="37" customFormat="1" ht="36.299999999999997" customHeight="1" x14ac:dyDescent="0.3">
      <c r="A134" s="120" t="s">
        <v>124</v>
      </c>
      <c r="B134" s="295" t="s">
        <v>583</v>
      </c>
      <c r="C134" s="296" t="s">
        <v>588</v>
      </c>
      <c r="D134" s="297" t="s">
        <v>593</v>
      </c>
      <c r="E134" s="120" t="s">
        <v>247</v>
      </c>
      <c r="F134" s="297" t="s">
        <v>14</v>
      </c>
      <c r="G134" s="297" t="s">
        <v>598</v>
      </c>
      <c r="H134" s="297" t="s">
        <v>108</v>
      </c>
      <c r="I134" s="231">
        <v>39.950000000000003</v>
      </c>
      <c r="J134" s="306">
        <v>16.25</v>
      </c>
      <c r="K134" s="307"/>
      <c r="L134" s="308">
        <f t="shared" si="3"/>
        <v>0</v>
      </c>
    </row>
    <row r="135" spans="1:12" s="37" customFormat="1" ht="36.299999999999997" customHeight="1" x14ac:dyDescent="0.3">
      <c r="A135" s="126" t="s">
        <v>124</v>
      </c>
      <c r="B135" s="302" t="s">
        <v>584</v>
      </c>
      <c r="C135" s="303" t="s">
        <v>589</v>
      </c>
      <c r="D135" s="304" t="s">
        <v>594</v>
      </c>
      <c r="E135" s="126" t="s">
        <v>83</v>
      </c>
      <c r="F135" s="304" t="s">
        <v>14</v>
      </c>
      <c r="G135" s="304" t="s">
        <v>598</v>
      </c>
      <c r="H135" s="304" t="s">
        <v>108</v>
      </c>
      <c r="I135" s="89">
        <v>39.950000000000003</v>
      </c>
      <c r="J135" s="50">
        <v>16.25</v>
      </c>
      <c r="K135" s="41"/>
      <c r="L135" s="305">
        <f t="shared" si="3"/>
        <v>0</v>
      </c>
    </row>
    <row r="136" spans="1:12" s="37" customFormat="1" ht="36.299999999999997" customHeight="1" x14ac:dyDescent="0.3">
      <c r="A136" s="126" t="s">
        <v>124</v>
      </c>
      <c r="B136" s="302" t="s">
        <v>585</v>
      </c>
      <c r="C136" s="303" t="s">
        <v>590</v>
      </c>
      <c r="D136" s="304" t="s">
        <v>595</v>
      </c>
      <c r="E136" s="126" t="s">
        <v>11</v>
      </c>
      <c r="F136" s="304" t="s">
        <v>14</v>
      </c>
      <c r="G136" s="304" t="s">
        <v>598</v>
      </c>
      <c r="H136" s="304" t="s">
        <v>108</v>
      </c>
      <c r="I136" s="89">
        <v>39.950000000000003</v>
      </c>
      <c r="J136" s="50">
        <v>16.25</v>
      </c>
      <c r="K136" s="41"/>
      <c r="L136" s="305">
        <f t="shared" si="3"/>
        <v>0</v>
      </c>
    </row>
    <row r="137" spans="1:12" s="37" customFormat="1" ht="36.299999999999997" customHeight="1" x14ac:dyDescent="0.3">
      <c r="A137" s="126" t="s">
        <v>124</v>
      </c>
      <c r="B137" s="302" t="s">
        <v>586</v>
      </c>
      <c r="C137" s="303" t="s">
        <v>591</v>
      </c>
      <c r="D137" s="304" t="s">
        <v>596</v>
      </c>
      <c r="E137" s="126" t="s">
        <v>13</v>
      </c>
      <c r="F137" s="304" t="s">
        <v>17</v>
      </c>
      <c r="G137" s="304" t="s">
        <v>598</v>
      </c>
      <c r="H137" s="304" t="s">
        <v>108</v>
      </c>
      <c r="I137" s="89">
        <v>69.95</v>
      </c>
      <c r="J137" s="50">
        <v>26.562499999999996</v>
      </c>
      <c r="K137" s="41"/>
      <c r="L137" s="305">
        <f t="shared" si="3"/>
        <v>0</v>
      </c>
    </row>
    <row r="138" spans="1:12" s="37" customFormat="1" ht="36.299999999999997" customHeight="1" thickBot="1" x14ac:dyDescent="0.35">
      <c r="A138" s="237" t="s">
        <v>124</v>
      </c>
      <c r="B138" s="298" t="s">
        <v>587</v>
      </c>
      <c r="C138" s="299" t="s">
        <v>592</v>
      </c>
      <c r="D138" s="300" t="s">
        <v>597</v>
      </c>
      <c r="E138" s="237" t="s">
        <v>247</v>
      </c>
      <c r="F138" s="300" t="s">
        <v>14</v>
      </c>
      <c r="G138" s="290" t="s">
        <v>598</v>
      </c>
      <c r="H138" s="300" t="s">
        <v>108</v>
      </c>
      <c r="I138" s="241">
        <v>39.950000000000003</v>
      </c>
      <c r="J138" s="52">
        <v>16.25</v>
      </c>
      <c r="K138" s="43"/>
      <c r="L138" s="301">
        <f t="shared" si="3"/>
        <v>0</v>
      </c>
    </row>
    <row r="139" spans="1:12" s="37" customFormat="1" ht="36.299999999999997" customHeight="1" x14ac:dyDescent="0.3">
      <c r="A139" s="120" t="s">
        <v>124</v>
      </c>
      <c r="B139" s="295" t="s">
        <v>567</v>
      </c>
      <c r="C139" s="296" t="s">
        <v>572</v>
      </c>
      <c r="D139" s="297" t="s">
        <v>577</v>
      </c>
      <c r="E139" s="120" t="s">
        <v>207</v>
      </c>
      <c r="F139" s="297" t="s">
        <v>14</v>
      </c>
      <c r="G139" s="297" t="s">
        <v>582</v>
      </c>
      <c r="H139" s="297" t="s">
        <v>108</v>
      </c>
      <c r="I139" s="231">
        <v>39.950000000000003</v>
      </c>
      <c r="J139" s="306">
        <v>16.25</v>
      </c>
      <c r="K139" s="307"/>
      <c r="L139" s="308">
        <f t="shared" si="3"/>
        <v>0</v>
      </c>
    </row>
    <row r="140" spans="1:12" s="37" customFormat="1" ht="36.299999999999997" customHeight="1" x14ac:dyDescent="0.3">
      <c r="A140" s="126" t="s">
        <v>124</v>
      </c>
      <c r="B140" s="288" t="s">
        <v>568</v>
      </c>
      <c r="C140" s="289" t="s">
        <v>573</v>
      </c>
      <c r="D140" s="290" t="s">
        <v>578</v>
      </c>
      <c r="E140" s="252" t="s">
        <v>248</v>
      </c>
      <c r="F140" s="290" t="s">
        <v>14</v>
      </c>
      <c r="G140" s="290" t="s">
        <v>582</v>
      </c>
      <c r="H140" s="290" t="s">
        <v>108</v>
      </c>
      <c r="I140" s="291">
        <v>39.950000000000003</v>
      </c>
      <c r="J140" s="50">
        <v>16.25</v>
      </c>
      <c r="K140" s="41"/>
      <c r="L140" s="305">
        <f t="shared" si="3"/>
        <v>0</v>
      </c>
    </row>
    <row r="141" spans="1:12" s="37" customFormat="1" ht="36.299999999999997" customHeight="1" x14ac:dyDescent="0.3">
      <c r="A141" s="126" t="s">
        <v>124</v>
      </c>
      <c r="B141" s="288" t="s">
        <v>569</v>
      </c>
      <c r="C141" s="289" t="s">
        <v>574</v>
      </c>
      <c r="D141" s="290" t="s">
        <v>579</v>
      </c>
      <c r="E141" s="252" t="s">
        <v>252</v>
      </c>
      <c r="F141" s="290" t="s">
        <v>14</v>
      </c>
      <c r="G141" s="290" t="s">
        <v>582</v>
      </c>
      <c r="H141" s="290" t="s">
        <v>108</v>
      </c>
      <c r="I141" s="291">
        <v>39.950000000000003</v>
      </c>
      <c r="J141" s="50">
        <v>16.25</v>
      </c>
      <c r="K141" s="41"/>
      <c r="L141" s="305">
        <f t="shared" si="3"/>
        <v>0</v>
      </c>
    </row>
    <row r="142" spans="1:12" s="37" customFormat="1" ht="36.299999999999997" customHeight="1" x14ac:dyDescent="0.3">
      <c r="A142" s="126" t="s">
        <v>124</v>
      </c>
      <c r="B142" s="288" t="s">
        <v>570</v>
      </c>
      <c r="C142" s="289" t="s">
        <v>575</v>
      </c>
      <c r="D142" s="290" t="s">
        <v>580</v>
      </c>
      <c r="E142" s="252" t="s">
        <v>247</v>
      </c>
      <c r="F142" s="290" t="s">
        <v>14</v>
      </c>
      <c r="G142" s="290" t="s">
        <v>582</v>
      </c>
      <c r="H142" s="290" t="s">
        <v>108</v>
      </c>
      <c r="I142" s="291">
        <v>39.950000000000003</v>
      </c>
      <c r="J142" s="50">
        <v>16.25</v>
      </c>
      <c r="K142" s="41"/>
      <c r="L142" s="305">
        <f t="shared" si="3"/>
        <v>0</v>
      </c>
    </row>
    <row r="143" spans="1:12" s="37" customFormat="1" ht="36.299999999999997" customHeight="1" thickBot="1" x14ac:dyDescent="0.35">
      <c r="A143" s="185" t="s">
        <v>124</v>
      </c>
      <c r="B143" s="298" t="s">
        <v>571</v>
      </c>
      <c r="C143" s="299" t="s">
        <v>576</v>
      </c>
      <c r="D143" s="300" t="s">
        <v>581</v>
      </c>
      <c r="E143" s="237" t="s">
        <v>33</v>
      </c>
      <c r="F143" s="300" t="s">
        <v>17</v>
      </c>
      <c r="G143" s="300" t="s">
        <v>582</v>
      </c>
      <c r="H143" s="300" t="s">
        <v>108</v>
      </c>
      <c r="I143" s="241">
        <v>69.95</v>
      </c>
      <c r="J143" s="52">
        <v>26.562499999999996</v>
      </c>
      <c r="K143" s="43"/>
      <c r="L143" s="301">
        <f t="shared" si="3"/>
        <v>0</v>
      </c>
    </row>
    <row r="144" spans="1:12" s="12" customFormat="1" ht="36.299999999999997" customHeight="1" x14ac:dyDescent="0.3">
      <c r="A144" s="131" t="s">
        <v>124</v>
      </c>
      <c r="B144" s="175" t="s">
        <v>116</v>
      </c>
      <c r="C144" s="129">
        <v>848869019999</v>
      </c>
      <c r="D144" s="131" t="s">
        <v>179</v>
      </c>
      <c r="E144" s="129" t="s">
        <v>12</v>
      </c>
      <c r="F144" s="129" t="s">
        <v>14</v>
      </c>
      <c r="G144" s="131" t="s">
        <v>111</v>
      </c>
      <c r="H144" s="131" t="s">
        <v>108</v>
      </c>
      <c r="I144" s="55">
        <v>44.95</v>
      </c>
      <c r="J144" s="45">
        <v>16.25</v>
      </c>
      <c r="K144" s="30"/>
      <c r="L144" s="31">
        <f t="shared" si="3"/>
        <v>0</v>
      </c>
    </row>
    <row r="145" spans="1:12" s="12" customFormat="1" ht="36.299999999999997" customHeight="1" x14ac:dyDescent="0.3">
      <c r="A145" s="109" t="s">
        <v>124</v>
      </c>
      <c r="B145" s="169" t="s">
        <v>123</v>
      </c>
      <c r="C145" s="111">
        <v>848869020865</v>
      </c>
      <c r="D145" s="109" t="s">
        <v>179</v>
      </c>
      <c r="E145" s="111" t="s">
        <v>13</v>
      </c>
      <c r="F145" s="111" t="s">
        <v>17</v>
      </c>
      <c r="G145" s="109" t="s">
        <v>111</v>
      </c>
      <c r="H145" s="109" t="s">
        <v>108</v>
      </c>
      <c r="I145" s="14">
        <v>74.95</v>
      </c>
      <c r="J145" s="9">
        <v>26.562499999999996</v>
      </c>
      <c r="K145" s="10"/>
      <c r="L145" s="11">
        <f t="shared" si="3"/>
        <v>0</v>
      </c>
    </row>
    <row r="146" spans="1:12" s="12" customFormat="1" ht="36.299999999999997" customHeight="1" x14ac:dyDescent="0.3">
      <c r="A146" s="109" t="s">
        <v>124</v>
      </c>
      <c r="B146" s="169" t="s">
        <v>120</v>
      </c>
      <c r="C146" s="111">
        <v>848869019982</v>
      </c>
      <c r="D146" s="109" t="s">
        <v>180</v>
      </c>
      <c r="E146" s="111" t="s">
        <v>33</v>
      </c>
      <c r="F146" s="111" t="s">
        <v>17</v>
      </c>
      <c r="G146" s="109" t="s">
        <v>111</v>
      </c>
      <c r="H146" s="109" t="s">
        <v>108</v>
      </c>
      <c r="I146" s="14">
        <v>74.95</v>
      </c>
      <c r="J146" s="9">
        <v>26.562499999999996</v>
      </c>
      <c r="K146" s="10"/>
      <c r="L146" s="11">
        <f t="shared" si="3"/>
        <v>0</v>
      </c>
    </row>
    <row r="147" spans="1:12" s="12" customFormat="1" ht="36.299999999999997" customHeight="1" x14ac:dyDescent="0.3">
      <c r="A147" s="109" t="s">
        <v>124</v>
      </c>
      <c r="B147" s="169" t="s">
        <v>118</v>
      </c>
      <c r="C147" s="111">
        <v>848869020049</v>
      </c>
      <c r="D147" s="109" t="s">
        <v>181</v>
      </c>
      <c r="E147" s="111" t="s">
        <v>248</v>
      </c>
      <c r="F147" s="111" t="s">
        <v>14</v>
      </c>
      <c r="G147" s="109" t="s">
        <v>111</v>
      </c>
      <c r="H147" s="109" t="s">
        <v>108</v>
      </c>
      <c r="I147" s="14">
        <v>44.95</v>
      </c>
      <c r="J147" s="9">
        <v>16.25</v>
      </c>
      <c r="K147" s="10"/>
      <c r="L147" s="11">
        <f t="shared" si="3"/>
        <v>0</v>
      </c>
    </row>
    <row r="148" spans="1:12" s="12" customFormat="1" ht="36.299999999999997" customHeight="1" x14ac:dyDescent="0.3">
      <c r="A148" s="109" t="s">
        <v>124</v>
      </c>
      <c r="B148" s="169" t="s">
        <v>228</v>
      </c>
      <c r="C148" s="111" t="s">
        <v>229</v>
      </c>
      <c r="D148" s="109" t="s">
        <v>230</v>
      </c>
      <c r="E148" s="111" t="s">
        <v>158</v>
      </c>
      <c r="F148" s="111" t="s">
        <v>14</v>
      </c>
      <c r="G148" s="109" t="s">
        <v>111</v>
      </c>
      <c r="H148" s="109" t="s">
        <v>108</v>
      </c>
      <c r="I148" s="14">
        <v>44.95</v>
      </c>
      <c r="J148" s="9">
        <v>16.25</v>
      </c>
      <c r="K148" s="10"/>
      <c r="L148" s="11">
        <f t="shared" si="3"/>
        <v>0</v>
      </c>
    </row>
    <row r="149" spans="1:12" s="12" customFormat="1" ht="36.299999999999997" customHeight="1" x14ac:dyDescent="0.3">
      <c r="A149" s="109" t="s">
        <v>124</v>
      </c>
      <c r="B149" s="169" t="s">
        <v>119</v>
      </c>
      <c r="C149" s="111">
        <v>848869020025</v>
      </c>
      <c r="D149" s="109" t="s">
        <v>182</v>
      </c>
      <c r="E149" s="111" t="s">
        <v>82</v>
      </c>
      <c r="F149" s="111" t="s">
        <v>14</v>
      </c>
      <c r="G149" s="109" t="s">
        <v>111</v>
      </c>
      <c r="H149" s="109" t="s">
        <v>108</v>
      </c>
      <c r="I149" s="14">
        <v>44.95</v>
      </c>
      <c r="J149" s="9">
        <v>16.25</v>
      </c>
      <c r="K149" s="10"/>
      <c r="L149" s="11">
        <f t="shared" si="3"/>
        <v>0</v>
      </c>
    </row>
    <row r="150" spans="1:12" s="12" customFormat="1" ht="36.299999999999997" customHeight="1" x14ac:dyDescent="0.3">
      <c r="A150" s="109" t="s">
        <v>124</v>
      </c>
      <c r="B150" s="169" t="s">
        <v>132</v>
      </c>
      <c r="C150" s="111">
        <v>848869021183</v>
      </c>
      <c r="D150" s="109" t="s">
        <v>183</v>
      </c>
      <c r="E150" s="111" t="s">
        <v>257</v>
      </c>
      <c r="F150" s="111" t="s">
        <v>17</v>
      </c>
      <c r="G150" s="109" t="s">
        <v>111</v>
      </c>
      <c r="H150" s="109" t="s">
        <v>108</v>
      </c>
      <c r="I150" s="14">
        <v>79.95</v>
      </c>
      <c r="J150" s="9">
        <v>28.437499999999996</v>
      </c>
      <c r="K150" s="10"/>
      <c r="L150" s="11">
        <f t="shared" si="3"/>
        <v>0</v>
      </c>
    </row>
    <row r="151" spans="1:12" s="12" customFormat="1" ht="36.299999999999997" customHeight="1" thickBot="1" x14ac:dyDescent="0.35">
      <c r="A151" s="109" t="s">
        <v>124</v>
      </c>
      <c r="B151" s="169" t="s">
        <v>117</v>
      </c>
      <c r="C151" s="111">
        <v>848869020032</v>
      </c>
      <c r="D151" s="109" t="s">
        <v>183</v>
      </c>
      <c r="E151" s="111" t="s">
        <v>249</v>
      </c>
      <c r="F151" s="111" t="s">
        <v>14</v>
      </c>
      <c r="G151" s="109" t="s">
        <v>111</v>
      </c>
      <c r="H151" s="109" t="s">
        <v>108</v>
      </c>
      <c r="I151" s="14">
        <v>44.95</v>
      </c>
      <c r="J151" s="9">
        <v>16.25</v>
      </c>
      <c r="K151" s="10"/>
      <c r="L151" s="11">
        <f t="shared" si="3"/>
        <v>0</v>
      </c>
    </row>
    <row r="152" spans="1:12" s="12" customFormat="1" ht="36.299999999999997" customHeight="1" x14ac:dyDescent="0.3">
      <c r="A152" s="192" t="s">
        <v>124</v>
      </c>
      <c r="B152" s="217" t="s">
        <v>223</v>
      </c>
      <c r="C152" s="218" t="s">
        <v>225</v>
      </c>
      <c r="D152" s="219" t="s">
        <v>227</v>
      </c>
      <c r="E152" s="219" t="s">
        <v>248</v>
      </c>
      <c r="F152" s="220" t="s">
        <v>14</v>
      </c>
      <c r="G152" s="151" t="s">
        <v>41</v>
      </c>
      <c r="H152" s="221" t="s">
        <v>108</v>
      </c>
      <c r="I152" s="222">
        <v>39.950000000000003</v>
      </c>
      <c r="J152" s="22">
        <v>15.624999999999998</v>
      </c>
      <c r="K152" s="23">
        <v>2</v>
      </c>
      <c r="L152" s="24">
        <f t="shared" si="3"/>
        <v>31.249999999999996</v>
      </c>
    </row>
    <row r="153" spans="1:12" s="17" customFormat="1" ht="36.299999999999997" customHeight="1" x14ac:dyDescent="0.3">
      <c r="A153" s="114" t="s">
        <v>124</v>
      </c>
      <c r="B153" s="177" t="s">
        <v>91</v>
      </c>
      <c r="C153" s="178">
        <v>848869019784</v>
      </c>
      <c r="D153" s="179" t="s">
        <v>130</v>
      </c>
      <c r="E153" s="179" t="s">
        <v>12</v>
      </c>
      <c r="F153" s="76" t="s">
        <v>14</v>
      </c>
      <c r="G153" s="109" t="s">
        <v>41</v>
      </c>
      <c r="H153" s="180" t="s">
        <v>108</v>
      </c>
      <c r="I153" s="44">
        <v>39.950000000000003</v>
      </c>
      <c r="J153" s="9">
        <v>15.624999999999998</v>
      </c>
      <c r="K153" s="10">
        <v>4</v>
      </c>
      <c r="L153" s="11">
        <f t="shared" si="3"/>
        <v>62.499999999999993</v>
      </c>
    </row>
    <row r="154" spans="1:12" s="17" customFormat="1" ht="36.299999999999997" customHeight="1" x14ac:dyDescent="0.3">
      <c r="A154" s="114" t="s">
        <v>124</v>
      </c>
      <c r="B154" s="177" t="s">
        <v>131</v>
      </c>
      <c r="C154" s="178">
        <v>848869021190</v>
      </c>
      <c r="D154" s="179" t="s">
        <v>178</v>
      </c>
      <c r="E154" s="179" t="s">
        <v>257</v>
      </c>
      <c r="F154" s="76" t="s">
        <v>17</v>
      </c>
      <c r="G154" s="109" t="s">
        <v>41</v>
      </c>
      <c r="H154" s="180" t="s">
        <v>108</v>
      </c>
      <c r="I154" s="44">
        <v>79.95</v>
      </c>
      <c r="J154" s="9">
        <v>28.437499999999996</v>
      </c>
      <c r="K154" s="10"/>
      <c r="L154" s="11">
        <f t="shared" si="3"/>
        <v>0</v>
      </c>
    </row>
    <row r="155" spans="1:12" s="17" customFormat="1" ht="36.299999999999997" customHeight="1" x14ac:dyDescent="0.3">
      <c r="A155" s="114" t="s">
        <v>124</v>
      </c>
      <c r="B155" s="169" t="s">
        <v>59</v>
      </c>
      <c r="C155" s="178">
        <v>848869014093</v>
      </c>
      <c r="D155" s="109" t="s">
        <v>60</v>
      </c>
      <c r="E155" s="111" t="s">
        <v>33</v>
      </c>
      <c r="F155" s="178" t="s">
        <v>17</v>
      </c>
      <c r="G155" s="109" t="s">
        <v>41</v>
      </c>
      <c r="H155" s="180" t="s">
        <v>108</v>
      </c>
      <c r="I155" s="44">
        <v>69.95</v>
      </c>
      <c r="J155" s="9">
        <v>25</v>
      </c>
      <c r="K155" s="10"/>
      <c r="L155" s="11">
        <f t="shared" si="3"/>
        <v>0</v>
      </c>
    </row>
    <row r="156" spans="1:12" s="17" customFormat="1" ht="36.299999999999997" customHeight="1" x14ac:dyDescent="0.3">
      <c r="A156" s="114" t="s">
        <v>124</v>
      </c>
      <c r="B156" s="169" t="s">
        <v>77</v>
      </c>
      <c r="C156" s="178">
        <v>848869017353</v>
      </c>
      <c r="D156" s="109" t="s">
        <v>84</v>
      </c>
      <c r="E156" s="111" t="s">
        <v>12</v>
      </c>
      <c r="F156" s="178" t="s">
        <v>14</v>
      </c>
      <c r="G156" s="109" t="s">
        <v>41</v>
      </c>
      <c r="H156" s="180" t="s">
        <v>108</v>
      </c>
      <c r="I156" s="44">
        <v>39.950000000000003</v>
      </c>
      <c r="J156" s="9">
        <v>15.624999999999998</v>
      </c>
      <c r="K156" s="10"/>
      <c r="L156" s="11">
        <f t="shared" si="3"/>
        <v>0</v>
      </c>
    </row>
    <row r="157" spans="1:12" s="17" customFormat="1" ht="36.299999999999997" customHeight="1" x14ac:dyDescent="0.3">
      <c r="A157" s="114" t="s">
        <v>124</v>
      </c>
      <c r="B157" s="150" t="s">
        <v>44</v>
      </c>
      <c r="C157" s="178">
        <v>848869013584</v>
      </c>
      <c r="D157" s="109" t="s">
        <v>45</v>
      </c>
      <c r="E157" s="111" t="s">
        <v>11</v>
      </c>
      <c r="F157" s="178" t="s">
        <v>14</v>
      </c>
      <c r="G157" s="109" t="s">
        <v>41</v>
      </c>
      <c r="H157" s="180" t="s">
        <v>108</v>
      </c>
      <c r="I157" s="44">
        <v>39.950000000000003</v>
      </c>
      <c r="J157" s="9">
        <v>15.624999999999998</v>
      </c>
      <c r="K157" s="10"/>
      <c r="L157" s="11">
        <f t="shared" si="3"/>
        <v>0</v>
      </c>
    </row>
    <row r="158" spans="1:12" s="17" customFormat="1" ht="36.299999999999997" customHeight="1" x14ac:dyDescent="0.3">
      <c r="A158" s="114" t="s">
        <v>124</v>
      </c>
      <c r="B158" s="150" t="s">
        <v>316</v>
      </c>
      <c r="C158" s="178" t="s">
        <v>325</v>
      </c>
      <c r="D158" s="109" t="s">
        <v>339</v>
      </c>
      <c r="E158" s="111" t="s">
        <v>334</v>
      </c>
      <c r="F158" s="178" t="s">
        <v>337</v>
      </c>
      <c r="G158" s="109" t="s">
        <v>41</v>
      </c>
      <c r="H158" s="180" t="s">
        <v>108</v>
      </c>
      <c r="I158" s="44">
        <v>39.950000000000003</v>
      </c>
      <c r="J158" s="9">
        <v>15.624999999999998</v>
      </c>
      <c r="K158" s="10"/>
      <c r="L158" s="11">
        <f t="shared" si="3"/>
        <v>0</v>
      </c>
    </row>
    <row r="159" spans="1:12" s="17" customFormat="1" ht="31.5" customHeight="1" x14ac:dyDescent="0.3">
      <c r="A159" s="114" t="s">
        <v>124</v>
      </c>
      <c r="B159" s="150" t="s">
        <v>317</v>
      </c>
      <c r="C159" s="178" t="s">
        <v>326</v>
      </c>
      <c r="D159" s="109" t="s">
        <v>339</v>
      </c>
      <c r="E159" s="111" t="s">
        <v>335</v>
      </c>
      <c r="F159" s="178" t="s">
        <v>337</v>
      </c>
      <c r="G159" s="109" t="s">
        <v>41</v>
      </c>
      <c r="H159" s="180" t="s">
        <v>108</v>
      </c>
      <c r="I159" s="44">
        <v>39.950000000000003</v>
      </c>
      <c r="J159" s="9">
        <v>15.624999999999998</v>
      </c>
      <c r="K159" s="10"/>
      <c r="L159" s="11">
        <f t="shared" si="3"/>
        <v>0</v>
      </c>
    </row>
    <row r="160" spans="1:12" s="17" customFormat="1" ht="36.299999999999997" customHeight="1" x14ac:dyDescent="0.3">
      <c r="A160" s="114" t="s">
        <v>124</v>
      </c>
      <c r="B160" s="150" t="s">
        <v>318</v>
      </c>
      <c r="C160" s="178" t="s">
        <v>327</v>
      </c>
      <c r="D160" s="109" t="s">
        <v>339</v>
      </c>
      <c r="E160" s="111" t="s">
        <v>336</v>
      </c>
      <c r="F160" s="178" t="s">
        <v>337</v>
      </c>
      <c r="G160" s="109" t="s">
        <v>41</v>
      </c>
      <c r="H160" s="180" t="s">
        <v>108</v>
      </c>
      <c r="I160" s="44">
        <v>39.950000000000003</v>
      </c>
      <c r="J160" s="9">
        <v>15.624999999999998</v>
      </c>
      <c r="K160" s="10"/>
      <c r="L160" s="11">
        <f t="shared" si="3"/>
        <v>0</v>
      </c>
    </row>
    <row r="161" spans="1:12" s="17" customFormat="1" ht="36.299999999999997" customHeight="1" x14ac:dyDescent="0.3">
      <c r="A161" s="114" t="s">
        <v>124</v>
      </c>
      <c r="B161" s="150" t="s">
        <v>78</v>
      </c>
      <c r="C161" s="178">
        <v>848869017384</v>
      </c>
      <c r="D161" s="109" t="s">
        <v>85</v>
      </c>
      <c r="E161" s="111" t="s">
        <v>83</v>
      </c>
      <c r="F161" s="178" t="s">
        <v>14</v>
      </c>
      <c r="G161" s="109" t="s">
        <v>41</v>
      </c>
      <c r="H161" s="180" t="s">
        <v>108</v>
      </c>
      <c r="I161" s="44">
        <v>39.950000000000003</v>
      </c>
      <c r="J161" s="9">
        <v>15.624999999999998</v>
      </c>
      <c r="K161" s="10"/>
      <c r="L161" s="11">
        <f t="shared" si="3"/>
        <v>0</v>
      </c>
    </row>
    <row r="162" spans="1:12" s="17" customFormat="1" ht="36.299999999999997" customHeight="1" x14ac:dyDescent="0.3">
      <c r="A162" s="114" t="s">
        <v>124</v>
      </c>
      <c r="B162" s="150" t="s">
        <v>313</v>
      </c>
      <c r="C162" s="178" t="s">
        <v>322</v>
      </c>
      <c r="D162" s="109" t="s">
        <v>338</v>
      </c>
      <c r="E162" s="111" t="s">
        <v>334</v>
      </c>
      <c r="F162" s="178" t="s">
        <v>337</v>
      </c>
      <c r="G162" s="109" t="s">
        <v>41</v>
      </c>
      <c r="H162" s="180" t="s">
        <v>108</v>
      </c>
      <c r="I162" s="44">
        <v>39.950000000000003</v>
      </c>
      <c r="J162" s="9">
        <v>15.624999999999998</v>
      </c>
      <c r="K162" s="10"/>
      <c r="L162" s="11">
        <f t="shared" si="3"/>
        <v>0</v>
      </c>
    </row>
    <row r="163" spans="1:12" s="17" customFormat="1" ht="31.5" customHeight="1" x14ac:dyDescent="0.3">
      <c r="A163" s="114" t="s">
        <v>124</v>
      </c>
      <c r="B163" s="150" t="s">
        <v>314</v>
      </c>
      <c r="C163" s="178" t="s">
        <v>323</v>
      </c>
      <c r="D163" s="109" t="s">
        <v>338</v>
      </c>
      <c r="E163" s="111" t="s">
        <v>335</v>
      </c>
      <c r="F163" s="178" t="s">
        <v>337</v>
      </c>
      <c r="G163" s="109" t="s">
        <v>41</v>
      </c>
      <c r="H163" s="180" t="s">
        <v>108</v>
      </c>
      <c r="I163" s="44">
        <v>39.950000000000003</v>
      </c>
      <c r="J163" s="9">
        <v>15.624999999999998</v>
      </c>
      <c r="K163" s="10"/>
      <c r="L163" s="11">
        <f t="shared" si="3"/>
        <v>0</v>
      </c>
    </row>
    <row r="164" spans="1:12" s="17" customFormat="1" ht="36.299999999999997" customHeight="1" x14ac:dyDescent="0.3">
      <c r="A164" s="114" t="s">
        <v>124</v>
      </c>
      <c r="B164" s="150" t="s">
        <v>315</v>
      </c>
      <c r="C164" s="178" t="s">
        <v>324</v>
      </c>
      <c r="D164" s="109" t="s">
        <v>338</v>
      </c>
      <c r="E164" s="111" t="s">
        <v>336</v>
      </c>
      <c r="F164" s="178" t="s">
        <v>337</v>
      </c>
      <c r="G164" s="109" t="s">
        <v>41</v>
      </c>
      <c r="H164" s="180" t="s">
        <v>108</v>
      </c>
      <c r="I164" s="44">
        <v>39.950000000000003</v>
      </c>
      <c r="J164" s="9">
        <v>15.624999999999998</v>
      </c>
      <c r="K164" s="10"/>
      <c r="L164" s="11">
        <f t="shared" si="3"/>
        <v>0</v>
      </c>
    </row>
    <row r="165" spans="1:12" s="17" customFormat="1" ht="36.299999999999997" customHeight="1" x14ac:dyDescent="0.3">
      <c r="A165" s="114" t="s">
        <v>124</v>
      </c>
      <c r="B165" s="177" t="s">
        <v>222</v>
      </c>
      <c r="C165" s="178" t="s">
        <v>224</v>
      </c>
      <c r="D165" s="179" t="s">
        <v>226</v>
      </c>
      <c r="E165" s="179" t="s">
        <v>247</v>
      </c>
      <c r="F165" s="76" t="s">
        <v>14</v>
      </c>
      <c r="G165" s="109" t="s">
        <v>41</v>
      </c>
      <c r="H165" s="180" t="s">
        <v>108</v>
      </c>
      <c r="I165" s="44">
        <v>39.950000000000003</v>
      </c>
      <c r="J165" s="9">
        <v>15.624999999999998</v>
      </c>
      <c r="K165" s="10"/>
      <c r="L165" s="11">
        <f t="shared" si="3"/>
        <v>0</v>
      </c>
    </row>
    <row r="166" spans="1:12" s="17" customFormat="1" ht="36.299999999999997" customHeight="1" x14ac:dyDescent="0.3">
      <c r="A166" s="114" t="s">
        <v>124</v>
      </c>
      <c r="B166" s="150" t="s">
        <v>79</v>
      </c>
      <c r="C166" s="178">
        <v>848869017377</v>
      </c>
      <c r="D166" s="109" t="s">
        <v>86</v>
      </c>
      <c r="E166" s="111" t="s">
        <v>12</v>
      </c>
      <c r="F166" s="178" t="s">
        <v>14</v>
      </c>
      <c r="G166" s="109" t="s">
        <v>41</v>
      </c>
      <c r="H166" s="180" t="s">
        <v>108</v>
      </c>
      <c r="I166" s="44">
        <v>39.950000000000003</v>
      </c>
      <c r="J166" s="9">
        <v>15.624999999999998</v>
      </c>
      <c r="K166" s="10"/>
      <c r="L166" s="11">
        <f t="shared" si="3"/>
        <v>0</v>
      </c>
    </row>
    <row r="167" spans="1:12" s="77" customFormat="1" ht="36.299999999999997" customHeight="1" x14ac:dyDescent="0.3">
      <c r="A167" s="181" t="s">
        <v>124</v>
      </c>
      <c r="B167" s="150" t="s">
        <v>190</v>
      </c>
      <c r="C167" s="178">
        <v>848869018749</v>
      </c>
      <c r="D167" s="109" t="s">
        <v>189</v>
      </c>
      <c r="E167" s="111" t="s">
        <v>12</v>
      </c>
      <c r="F167" s="178" t="s">
        <v>14</v>
      </c>
      <c r="G167" s="109" t="s">
        <v>41</v>
      </c>
      <c r="H167" s="180" t="s">
        <v>108</v>
      </c>
      <c r="I167" s="44">
        <v>39.950000000000003</v>
      </c>
      <c r="J167" s="9">
        <v>15.624999999999998</v>
      </c>
      <c r="K167" s="10"/>
      <c r="L167" s="11">
        <f t="shared" ref="L167:L215" si="4">K167*J167</f>
        <v>0</v>
      </c>
    </row>
    <row r="168" spans="1:12" s="77" customFormat="1" ht="36.299999999999997" customHeight="1" x14ac:dyDescent="0.3">
      <c r="A168" s="114" t="s">
        <v>124</v>
      </c>
      <c r="B168" s="150" t="s">
        <v>39</v>
      </c>
      <c r="C168" s="178">
        <v>848869013553</v>
      </c>
      <c r="D168" s="109" t="s">
        <v>40</v>
      </c>
      <c r="E168" s="111" t="s">
        <v>248</v>
      </c>
      <c r="F168" s="178" t="s">
        <v>14</v>
      </c>
      <c r="G168" s="109" t="s">
        <v>41</v>
      </c>
      <c r="H168" s="180" t="s">
        <v>108</v>
      </c>
      <c r="I168" s="44">
        <v>39.950000000000003</v>
      </c>
      <c r="J168" s="9">
        <v>15.624999999999998</v>
      </c>
      <c r="K168" s="10">
        <v>4</v>
      </c>
      <c r="L168" s="11">
        <f t="shared" si="4"/>
        <v>62.499999999999993</v>
      </c>
    </row>
    <row r="169" spans="1:12" s="77" customFormat="1" ht="36.299999999999997" customHeight="1" x14ac:dyDescent="0.3">
      <c r="A169" s="114" t="s">
        <v>124</v>
      </c>
      <c r="B169" s="169" t="s">
        <v>56</v>
      </c>
      <c r="C169" s="178">
        <v>848869014109</v>
      </c>
      <c r="D169" s="109" t="s">
        <v>40</v>
      </c>
      <c r="E169" s="111" t="s">
        <v>13</v>
      </c>
      <c r="F169" s="178" t="s">
        <v>17</v>
      </c>
      <c r="G169" s="109" t="s">
        <v>41</v>
      </c>
      <c r="H169" s="180" t="s">
        <v>108</v>
      </c>
      <c r="I169" s="44">
        <v>69.95</v>
      </c>
      <c r="J169" s="9">
        <v>25</v>
      </c>
      <c r="K169" s="10"/>
      <c r="L169" s="11">
        <f t="shared" si="4"/>
        <v>0</v>
      </c>
    </row>
    <row r="170" spans="1:12" s="77" customFormat="1" ht="36.299999999999997" customHeight="1" x14ac:dyDescent="0.3">
      <c r="A170" s="114" t="s">
        <v>124</v>
      </c>
      <c r="B170" s="169" t="s">
        <v>57</v>
      </c>
      <c r="C170" s="178">
        <v>848869014123</v>
      </c>
      <c r="D170" s="109" t="s">
        <v>58</v>
      </c>
      <c r="E170" s="111" t="s">
        <v>46</v>
      </c>
      <c r="F170" s="223" t="s">
        <v>19</v>
      </c>
      <c r="G170" s="109" t="s">
        <v>41</v>
      </c>
      <c r="H170" s="180" t="s">
        <v>108</v>
      </c>
      <c r="I170" s="44">
        <v>69.95</v>
      </c>
      <c r="J170" s="9">
        <v>25</v>
      </c>
      <c r="K170" s="10"/>
      <c r="L170" s="11">
        <f t="shared" si="4"/>
        <v>0</v>
      </c>
    </row>
    <row r="171" spans="1:12" s="77" customFormat="1" ht="36.299999999999997" customHeight="1" thickBot="1" x14ac:dyDescent="0.35">
      <c r="A171" s="224" t="s">
        <v>124</v>
      </c>
      <c r="B171" s="210" t="s">
        <v>42</v>
      </c>
      <c r="C171" s="146">
        <v>848869013577</v>
      </c>
      <c r="D171" s="142" t="s">
        <v>43</v>
      </c>
      <c r="E171" s="145" t="s">
        <v>251</v>
      </c>
      <c r="F171" s="146" t="s">
        <v>14</v>
      </c>
      <c r="G171" s="142" t="s">
        <v>41</v>
      </c>
      <c r="H171" s="225" t="s">
        <v>108</v>
      </c>
      <c r="I171" s="226">
        <v>39.950000000000003</v>
      </c>
      <c r="J171" s="18">
        <v>15.624999999999998</v>
      </c>
      <c r="K171" s="19"/>
      <c r="L171" s="20">
        <f t="shared" si="4"/>
        <v>0</v>
      </c>
    </row>
    <row r="172" spans="1:12" s="12" customFormat="1" ht="36.299999999999997" customHeight="1" x14ac:dyDescent="0.3">
      <c r="A172" s="131" t="s">
        <v>124</v>
      </c>
      <c r="B172" s="175" t="s">
        <v>89</v>
      </c>
      <c r="C172" s="129">
        <v>848869019821</v>
      </c>
      <c r="D172" s="131" t="s">
        <v>126</v>
      </c>
      <c r="E172" s="129" t="s">
        <v>90</v>
      </c>
      <c r="F172" s="129" t="s">
        <v>14</v>
      </c>
      <c r="G172" s="131" t="s">
        <v>68</v>
      </c>
      <c r="H172" s="131" t="s">
        <v>108</v>
      </c>
      <c r="I172" s="55">
        <v>39.950000000000003</v>
      </c>
      <c r="J172" s="22">
        <v>15.624999999999998</v>
      </c>
      <c r="K172" s="23">
        <v>6</v>
      </c>
      <c r="L172" s="24">
        <f t="shared" si="4"/>
        <v>93.749999999999986</v>
      </c>
    </row>
    <row r="173" spans="1:12" s="12" customFormat="1" ht="36.299999999999997" customHeight="1" x14ac:dyDescent="0.3">
      <c r="A173" s="109" t="s">
        <v>124</v>
      </c>
      <c r="B173" s="169" t="s">
        <v>127</v>
      </c>
      <c r="C173" s="111">
        <v>848869021145</v>
      </c>
      <c r="D173" s="109" t="s">
        <v>184</v>
      </c>
      <c r="E173" s="111" t="s">
        <v>128</v>
      </c>
      <c r="F173" s="111" t="s">
        <v>17</v>
      </c>
      <c r="G173" s="109" t="s">
        <v>68</v>
      </c>
      <c r="H173" s="109" t="s">
        <v>108</v>
      </c>
      <c r="I173" s="14">
        <v>79.95</v>
      </c>
      <c r="J173" s="9">
        <v>28.437499999999996</v>
      </c>
      <c r="K173" s="10"/>
      <c r="L173" s="11">
        <f t="shared" si="4"/>
        <v>0</v>
      </c>
    </row>
    <row r="174" spans="1:12" s="12" customFormat="1" ht="36.299999999999997" customHeight="1" x14ac:dyDescent="0.3">
      <c r="A174" s="109" t="s">
        <v>124</v>
      </c>
      <c r="B174" s="177" t="s">
        <v>72</v>
      </c>
      <c r="C174" s="111">
        <v>848869016837</v>
      </c>
      <c r="D174" s="179" t="s">
        <v>74</v>
      </c>
      <c r="E174" s="179" t="s">
        <v>11</v>
      </c>
      <c r="F174" s="87" t="s">
        <v>14</v>
      </c>
      <c r="G174" s="109" t="s">
        <v>68</v>
      </c>
      <c r="H174" s="109" t="s">
        <v>108</v>
      </c>
      <c r="I174" s="14">
        <v>39.950000000000003</v>
      </c>
      <c r="J174" s="9">
        <v>15.624999999999998</v>
      </c>
      <c r="K174" s="10"/>
      <c r="L174" s="11">
        <f t="shared" si="4"/>
        <v>0</v>
      </c>
    </row>
    <row r="175" spans="1:12" s="12" customFormat="1" ht="36.299999999999997" customHeight="1" thickBot="1" x14ac:dyDescent="0.35">
      <c r="A175" s="142" t="s">
        <v>124</v>
      </c>
      <c r="B175" s="318" t="s">
        <v>66</v>
      </c>
      <c r="C175" s="145">
        <v>848869015144</v>
      </c>
      <c r="D175" s="319" t="s">
        <v>63</v>
      </c>
      <c r="E175" s="319" t="s">
        <v>251</v>
      </c>
      <c r="F175" s="320" t="s">
        <v>14</v>
      </c>
      <c r="G175" s="142" t="s">
        <v>68</v>
      </c>
      <c r="H175" s="142" t="s">
        <v>108</v>
      </c>
      <c r="I175" s="72">
        <v>39.950000000000003</v>
      </c>
      <c r="J175" s="18">
        <v>15.624999999999998</v>
      </c>
      <c r="K175" s="19"/>
      <c r="L175" s="20">
        <f t="shared" si="4"/>
        <v>0</v>
      </c>
    </row>
    <row r="176" spans="1:12" s="37" customFormat="1" ht="31.5" customHeight="1" thickBot="1" x14ac:dyDescent="0.35">
      <c r="A176" s="247" t="s">
        <v>124</v>
      </c>
      <c r="B176" s="312" t="s">
        <v>601</v>
      </c>
      <c r="C176" s="246">
        <v>848869031236</v>
      </c>
      <c r="D176" s="313" t="s">
        <v>63</v>
      </c>
      <c r="E176" s="313" t="s">
        <v>247</v>
      </c>
      <c r="F176" s="314" t="s">
        <v>14</v>
      </c>
      <c r="G176" s="247" t="s">
        <v>68</v>
      </c>
      <c r="H176" s="247" t="s">
        <v>108</v>
      </c>
      <c r="I176" s="315">
        <v>39.950000000000003</v>
      </c>
      <c r="J176" s="316">
        <v>15.624999999999998</v>
      </c>
      <c r="K176" s="317"/>
      <c r="L176" s="308">
        <v>0</v>
      </c>
    </row>
    <row r="177" spans="1:12" s="37" customFormat="1" ht="36.299999999999997" customHeight="1" thickBot="1" x14ac:dyDescent="0.35">
      <c r="A177" s="262" t="s">
        <v>124</v>
      </c>
      <c r="B177" s="284" t="s">
        <v>550</v>
      </c>
      <c r="C177" s="239">
        <v>848869029189</v>
      </c>
      <c r="D177" s="285" t="s">
        <v>551</v>
      </c>
      <c r="E177" s="285" t="s">
        <v>250</v>
      </c>
      <c r="F177" s="286" t="s">
        <v>14</v>
      </c>
      <c r="G177" s="262" t="s">
        <v>68</v>
      </c>
      <c r="H177" s="262" t="s">
        <v>108</v>
      </c>
      <c r="I177" s="287">
        <v>39.950000000000003</v>
      </c>
      <c r="J177" s="242">
        <v>15.624999999999998</v>
      </c>
      <c r="K177" s="243">
        <v>6</v>
      </c>
      <c r="L177" s="244">
        <f t="shared" si="4"/>
        <v>93.749999999999986</v>
      </c>
    </row>
    <row r="178" spans="1:12" s="12" customFormat="1" ht="36.299999999999997" customHeight="1" x14ac:dyDescent="0.3">
      <c r="A178" s="131" t="s">
        <v>124</v>
      </c>
      <c r="B178" s="281" t="s">
        <v>81</v>
      </c>
      <c r="C178" s="129">
        <v>848869017414</v>
      </c>
      <c r="D178" s="282" t="s">
        <v>87</v>
      </c>
      <c r="E178" s="282" t="s">
        <v>248</v>
      </c>
      <c r="F178" s="283" t="s">
        <v>14</v>
      </c>
      <c r="G178" s="131" t="s">
        <v>68</v>
      </c>
      <c r="H178" s="131" t="s">
        <v>108</v>
      </c>
      <c r="I178" s="55">
        <v>39.950000000000003</v>
      </c>
      <c r="J178" s="45">
        <v>15.624999999999998</v>
      </c>
      <c r="K178" s="30"/>
      <c r="L178" s="31">
        <f t="shared" si="4"/>
        <v>0</v>
      </c>
    </row>
    <row r="179" spans="1:12" s="12" customFormat="1" ht="36.299999999999997" customHeight="1" x14ac:dyDescent="0.3">
      <c r="A179" s="109" t="s">
        <v>124</v>
      </c>
      <c r="B179" s="177" t="s">
        <v>67</v>
      </c>
      <c r="C179" s="111">
        <v>848869015151</v>
      </c>
      <c r="D179" s="179" t="s">
        <v>64</v>
      </c>
      <c r="E179" s="179" t="s">
        <v>247</v>
      </c>
      <c r="F179" s="87" t="s">
        <v>14</v>
      </c>
      <c r="G179" s="109" t="s">
        <v>68</v>
      </c>
      <c r="H179" s="109" t="s">
        <v>108</v>
      </c>
      <c r="I179" s="14">
        <v>39.950000000000003</v>
      </c>
      <c r="J179" s="9">
        <v>15.624999999999998</v>
      </c>
      <c r="K179" s="10"/>
      <c r="L179" s="11">
        <f t="shared" si="4"/>
        <v>0</v>
      </c>
    </row>
    <row r="180" spans="1:12" s="12" customFormat="1" ht="36.299999999999997" customHeight="1" x14ac:dyDescent="0.3">
      <c r="A180" s="109" t="s">
        <v>124</v>
      </c>
      <c r="B180" s="177" t="s">
        <v>73</v>
      </c>
      <c r="C180" s="111">
        <v>848869016820</v>
      </c>
      <c r="D180" s="179" t="s">
        <v>75</v>
      </c>
      <c r="E180" s="179" t="s">
        <v>76</v>
      </c>
      <c r="F180" s="87" t="s">
        <v>14</v>
      </c>
      <c r="G180" s="109" t="s">
        <v>68</v>
      </c>
      <c r="H180" s="109" t="s">
        <v>108</v>
      </c>
      <c r="I180" s="14">
        <v>39.950000000000003</v>
      </c>
      <c r="J180" s="9">
        <v>15.624999999999998</v>
      </c>
      <c r="K180" s="10"/>
      <c r="L180" s="11">
        <f t="shared" si="4"/>
        <v>0</v>
      </c>
    </row>
    <row r="181" spans="1:12" s="12" customFormat="1" ht="36.299999999999997" customHeight="1" x14ac:dyDescent="0.3">
      <c r="A181" s="109" t="s">
        <v>124</v>
      </c>
      <c r="B181" s="177" t="s">
        <v>65</v>
      </c>
      <c r="C181" s="111">
        <v>848869015137</v>
      </c>
      <c r="D181" s="179" t="s">
        <v>62</v>
      </c>
      <c r="E181" s="179" t="s">
        <v>249</v>
      </c>
      <c r="F181" s="87" t="s">
        <v>14</v>
      </c>
      <c r="G181" s="109" t="s">
        <v>68</v>
      </c>
      <c r="H181" s="109" t="s">
        <v>108</v>
      </c>
      <c r="I181" s="14">
        <v>39.950000000000003</v>
      </c>
      <c r="J181" s="9">
        <v>15.624999999999998</v>
      </c>
      <c r="K181" s="10">
        <v>6</v>
      </c>
      <c r="L181" s="11">
        <f t="shared" si="4"/>
        <v>93.749999999999986</v>
      </c>
    </row>
    <row r="182" spans="1:12" s="17" customFormat="1" ht="36.299999999999997" customHeight="1" x14ac:dyDescent="0.3">
      <c r="A182" s="109" t="s">
        <v>124</v>
      </c>
      <c r="B182" s="177" t="s">
        <v>80</v>
      </c>
      <c r="C182" s="111">
        <v>848869017391</v>
      </c>
      <c r="D182" s="179" t="s">
        <v>88</v>
      </c>
      <c r="E182" s="179" t="s">
        <v>12</v>
      </c>
      <c r="F182" s="87" t="s">
        <v>14</v>
      </c>
      <c r="G182" s="109" t="s">
        <v>68</v>
      </c>
      <c r="H182" s="109" t="s">
        <v>108</v>
      </c>
      <c r="I182" s="14">
        <v>39.950000000000003</v>
      </c>
      <c r="J182" s="9">
        <v>15.624999999999998</v>
      </c>
      <c r="K182" s="10">
        <v>8</v>
      </c>
      <c r="L182" s="11">
        <f t="shared" si="4"/>
        <v>124.99999999999999</v>
      </c>
    </row>
    <row r="183" spans="1:12" s="8" customFormat="1" ht="36.299999999999997" customHeight="1" thickBot="1" x14ac:dyDescent="0.35">
      <c r="A183" s="109" t="s">
        <v>124</v>
      </c>
      <c r="B183" s="177" t="s">
        <v>129</v>
      </c>
      <c r="C183" s="111">
        <v>848869021152</v>
      </c>
      <c r="D183" s="179" t="s">
        <v>185</v>
      </c>
      <c r="E183" s="179" t="s">
        <v>258</v>
      </c>
      <c r="F183" s="87" t="s">
        <v>17</v>
      </c>
      <c r="G183" s="109" t="s">
        <v>68</v>
      </c>
      <c r="H183" s="109" t="s">
        <v>108</v>
      </c>
      <c r="I183" s="14">
        <v>79.95</v>
      </c>
      <c r="J183" s="9">
        <v>28.437499999999996</v>
      </c>
      <c r="K183" s="10">
        <v>4</v>
      </c>
      <c r="L183" s="11">
        <f t="shared" si="4"/>
        <v>113.74999999999999</v>
      </c>
    </row>
    <row r="184" spans="1:12" s="37" customFormat="1" ht="36.299999999999997" customHeight="1" x14ac:dyDescent="0.3">
      <c r="A184" s="227" t="s">
        <v>124</v>
      </c>
      <c r="B184" s="228" t="s">
        <v>498</v>
      </c>
      <c r="C184" s="133" t="s">
        <v>506</v>
      </c>
      <c r="D184" s="229" t="s">
        <v>514</v>
      </c>
      <c r="E184" s="229" t="s">
        <v>13</v>
      </c>
      <c r="F184" s="230" t="s">
        <v>17</v>
      </c>
      <c r="G184" s="134" t="s">
        <v>523</v>
      </c>
      <c r="H184" s="120" t="s">
        <v>108</v>
      </c>
      <c r="I184" s="231">
        <v>74.95</v>
      </c>
      <c r="J184" s="35">
        <v>26.562499999999996</v>
      </c>
      <c r="K184" s="62"/>
      <c r="L184" s="92">
        <f t="shared" si="4"/>
        <v>0</v>
      </c>
    </row>
    <row r="185" spans="1:12" s="37" customFormat="1" ht="36.299999999999997" customHeight="1" x14ac:dyDescent="0.3">
      <c r="A185" s="184" t="s">
        <v>124</v>
      </c>
      <c r="B185" s="182" t="s">
        <v>499</v>
      </c>
      <c r="C185" s="135" t="s">
        <v>507</v>
      </c>
      <c r="D185" s="183" t="s">
        <v>515</v>
      </c>
      <c r="E185" s="183" t="s">
        <v>207</v>
      </c>
      <c r="F185" s="88" t="s">
        <v>14</v>
      </c>
      <c r="G185" s="136" t="s">
        <v>523</v>
      </c>
      <c r="H185" s="126" t="s">
        <v>108</v>
      </c>
      <c r="I185" s="89">
        <v>44.95</v>
      </c>
      <c r="J185" s="40">
        <v>16.25</v>
      </c>
      <c r="K185" s="64"/>
      <c r="L185" s="93">
        <f t="shared" si="4"/>
        <v>0</v>
      </c>
    </row>
    <row r="186" spans="1:12" s="37" customFormat="1" ht="36.299999999999997" customHeight="1" x14ac:dyDescent="0.3">
      <c r="A186" s="184" t="s">
        <v>124</v>
      </c>
      <c r="B186" s="182" t="s">
        <v>500</v>
      </c>
      <c r="C186" s="135" t="s">
        <v>508</v>
      </c>
      <c r="D186" s="183" t="s">
        <v>516</v>
      </c>
      <c r="E186" s="183" t="s">
        <v>252</v>
      </c>
      <c r="F186" s="88" t="s">
        <v>14</v>
      </c>
      <c r="G186" s="136" t="s">
        <v>523</v>
      </c>
      <c r="H186" s="126" t="s">
        <v>108</v>
      </c>
      <c r="I186" s="89">
        <v>44.95</v>
      </c>
      <c r="J186" s="40">
        <v>16.25</v>
      </c>
      <c r="K186" s="64"/>
      <c r="L186" s="93">
        <f t="shared" si="4"/>
        <v>0</v>
      </c>
    </row>
    <row r="187" spans="1:12" s="37" customFormat="1" ht="36.299999999999997" customHeight="1" x14ac:dyDescent="0.3">
      <c r="A187" s="184" t="s">
        <v>124</v>
      </c>
      <c r="B187" s="182" t="s">
        <v>501</v>
      </c>
      <c r="C187" s="135" t="s">
        <v>509</v>
      </c>
      <c r="D187" s="183" t="s">
        <v>517</v>
      </c>
      <c r="E187" s="183" t="s">
        <v>251</v>
      </c>
      <c r="F187" s="88" t="s">
        <v>14</v>
      </c>
      <c r="G187" s="136" t="s">
        <v>523</v>
      </c>
      <c r="H187" s="126" t="s">
        <v>108</v>
      </c>
      <c r="I187" s="89">
        <v>44.95</v>
      </c>
      <c r="J187" s="40">
        <v>16.25</v>
      </c>
      <c r="K187" s="64"/>
      <c r="L187" s="93">
        <f t="shared" si="4"/>
        <v>0</v>
      </c>
    </row>
    <row r="188" spans="1:12" s="37" customFormat="1" ht="36.299999999999997" customHeight="1" x14ac:dyDescent="0.3">
      <c r="A188" s="184" t="s">
        <v>124</v>
      </c>
      <c r="B188" s="182" t="s">
        <v>502</v>
      </c>
      <c r="C188" s="135" t="s">
        <v>510</v>
      </c>
      <c r="D188" s="183" t="s">
        <v>518</v>
      </c>
      <c r="E188" s="183" t="s">
        <v>33</v>
      </c>
      <c r="F188" s="88" t="s">
        <v>17</v>
      </c>
      <c r="G188" s="136" t="s">
        <v>523</v>
      </c>
      <c r="H188" s="126" t="s">
        <v>108</v>
      </c>
      <c r="I188" s="89">
        <v>74.95</v>
      </c>
      <c r="J188" s="40">
        <v>26.562499999999996</v>
      </c>
      <c r="K188" s="64"/>
      <c r="L188" s="93">
        <f t="shared" si="4"/>
        <v>0</v>
      </c>
    </row>
    <row r="189" spans="1:12" s="37" customFormat="1" ht="36.299999999999997" customHeight="1" x14ac:dyDescent="0.3">
      <c r="A189" s="184" t="s">
        <v>124</v>
      </c>
      <c r="B189" s="182" t="s">
        <v>602</v>
      </c>
      <c r="C189" s="135">
        <v>848869031380</v>
      </c>
      <c r="D189" s="183" t="s">
        <v>603</v>
      </c>
      <c r="E189" s="183" t="s">
        <v>69</v>
      </c>
      <c r="F189" s="88" t="s">
        <v>14</v>
      </c>
      <c r="G189" s="136" t="s">
        <v>523</v>
      </c>
      <c r="H189" s="126" t="s">
        <v>108</v>
      </c>
      <c r="I189" s="89">
        <v>59.95</v>
      </c>
      <c r="J189" s="40">
        <v>19.375</v>
      </c>
      <c r="K189" s="64"/>
      <c r="L189" s="93">
        <f t="shared" si="4"/>
        <v>0</v>
      </c>
    </row>
    <row r="190" spans="1:12" s="37" customFormat="1" ht="36.299999999999997" customHeight="1" x14ac:dyDescent="0.3">
      <c r="A190" s="184" t="s">
        <v>124</v>
      </c>
      <c r="B190" s="182" t="s">
        <v>503</v>
      </c>
      <c r="C190" s="135" t="s">
        <v>511</v>
      </c>
      <c r="D190" s="183" t="s">
        <v>519</v>
      </c>
      <c r="E190" s="183" t="s">
        <v>520</v>
      </c>
      <c r="F190" s="88" t="s">
        <v>14</v>
      </c>
      <c r="G190" s="136" t="s">
        <v>523</v>
      </c>
      <c r="H190" s="126" t="s">
        <v>108</v>
      </c>
      <c r="I190" s="89">
        <v>44.95</v>
      </c>
      <c r="J190" s="40">
        <v>16.25</v>
      </c>
      <c r="K190" s="64"/>
      <c r="L190" s="93">
        <f t="shared" si="4"/>
        <v>0</v>
      </c>
    </row>
    <row r="191" spans="1:12" s="37" customFormat="1" ht="36.299999999999997" customHeight="1" x14ac:dyDescent="0.3">
      <c r="A191" s="184" t="s">
        <v>124</v>
      </c>
      <c r="B191" s="182" t="s">
        <v>504</v>
      </c>
      <c r="C191" s="135" t="s">
        <v>512</v>
      </c>
      <c r="D191" s="183" t="s">
        <v>521</v>
      </c>
      <c r="E191" s="183" t="s">
        <v>165</v>
      </c>
      <c r="F191" s="88" t="s">
        <v>14</v>
      </c>
      <c r="G191" s="136" t="s">
        <v>523</v>
      </c>
      <c r="H191" s="126" t="s">
        <v>108</v>
      </c>
      <c r="I191" s="89">
        <v>44.95</v>
      </c>
      <c r="J191" s="40">
        <v>16.25</v>
      </c>
      <c r="K191" s="64"/>
      <c r="L191" s="93">
        <f t="shared" si="4"/>
        <v>0</v>
      </c>
    </row>
    <row r="192" spans="1:12" s="37" customFormat="1" ht="36.299999999999997" customHeight="1" thickBot="1" x14ac:dyDescent="0.35">
      <c r="A192" s="185" t="s">
        <v>124</v>
      </c>
      <c r="B192" s="186" t="s">
        <v>505</v>
      </c>
      <c r="C192" s="187" t="s">
        <v>513</v>
      </c>
      <c r="D192" s="188" t="s">
        <v>522</v>
      </c>
      <c r="E192" s="188" t="s">
        <v>249</v>
      </c>
      <c r="F192" s="90" t="s">
        <v>14</v>
      </c>
      <c r="G192" s="189" t="s">
        <v>523</v>
      </c>
      <c r="H192" s="185" t="s">
        <v>108</v>
      </c>
      <c r="I192" s="91">
        <v>44.95</v>
      </c>
      <c r="J192" s="42">
        <v>16.25</v>
      </c>
      <c r="K192" s="65"/>
      <c r="L192" s="94">
        <f t="shared" si="4"/>
        <v>0</v>
      </c>
    </row>
    <row r="193" spans="1:12" s="12" customFormat="1" ht="35.549999999999997" customHeight="1" x14ac:dyDescent="0.3">
      <c r="A193" s="151" t="s">
        <v>124</v>
      </c>
      <c r="B193" s="167" t="s">
        <v>48</v>
      </c>
      <c r="C193" s="168">
        <v>848869000461</v>
      </c>
      <c r="D193" s="68" t="s">
        <v>7</v>
      </c>
      <c r="E193" s="151" t="s">
        <v>3</v>
      </c>
      <c r="F193" s="151" t="s">
        <v>20</v>
      </c>
      <c r="G193" s="68" t="s">
        <v>29</v>
      </c>
      <c r="H193" s="151" t="s">
        <v>109</v>
      </c>
      <c r="I193" s="54">
        <v>99.95</v>
      </c>
      <c r="J193" s="22">
        <v>35.312499999999993</v>
      </c>
      <c r="K193" s="23"/>
      <c r="L193" s="24">
        <f t="shared" si="4"/>
        <v>0</v>
      </c>
    </row>
    <row r="194" spans="1:12" s="12" customFormat="1" ht="36.299999999999997" customHeight="1" x14ac:dyDescent="0.3">
      <c r="A194" s="109" t="s">
        <v>124</v>
      </c>
      <c r="B194" s="110" t="s">
        <v>70</v>
      </c>
      <c r="C194" s="111">
        <v>848869015441</v>
      </c>
      <c r="D194" s="112" t="s">
        <v>6</v>
      </c>
      <c r="E194" s="112" t="s">
        <v>69</v>
      </c>
      <c r="F194" s="112" t="s">
        <v>14</v>
      </c>
      <c r="G194" s="13" t="s">
        <v>29</v>
      </c>
      <c r="H194" s="109" t="s">
        <v>109</v>
      </c>
      <c r="I194" s="14">
        <v>69.95</v>
      </c>
      <c r="J194" s="9">
        <v>25</v>
      </c>
      <c r="K194" s="10"/>
      <c r="L194" s="11">
        <f t="shared" si="4"/>
        <v>0</v>
      </c>
    </row>
    <row r="195" spans="1:12" s="12" customFormat="1" ht="36.299999999999997" customHeight="1" thickBot="1" x14ac:dyDescent="0.35">
      <c r="A195" s="109" t="s">
        <v>124</v>
      </c>
      <c r="B195" s="150" t="s">
        <v>47</v>
      </c>
      <c r="C195" s="148">
        <v>848869000409</v>
      </c>
      <c r="D195" s="109" t="s">
        <v>5</v>
      </c>
      <c r="E195" s="111" t="s">
        <v>259</v>
      </c>
      <c r="F195" s="111" t="s">
        <v>16</v>
      </c>
      <c r="G195" s="109" t="s">
        <v>29</v>
      </c>
      <c r="H195" s="109" t="s">
        <v>109</v>
      </c>
      <c r="I195" s="14">
        <v>89.95</v>
      </c>
      <c r="J195" s="9">
        <v>31.562499999999996</v>
      </c>
      <c r="K195" s="10"/>
      <c r="L195" s="11">
        <f t="shared" si="4"/>
        <v>0</v>
      </c>
    </row>
    <row r="196" spans="1:12" s="12" customFormat="1" ht="35.549999999999997" customHeight="1" x14ac:dyDescent="0.3">
      <c r="A196" s="151" t="s">
        <v>124</v>
      </c>
      <c r="B196" s="190" t="s">
        <v>54</v>
      </c>
      <c r="C196" s="154">
        <v>848869012938</v>
      </c>
      <c r="D196" s="151" t="s">
        <v>34</v>
      </c>
      <c r="E196" s="151" t="s">
        <v>3</v>
      </c>
      <c r="F196" s="151" t="s">
        <v>20</v>
      </c>
      <c r="G196" s="151" t="s">
        <v>38</v>
      </c>
      <c r="H196" s="151" t="s">
        <v>109</v>
      </c>
      <c r="I196" s="54">
        <v>99.95</v>
      </c>
      <c r="J196" s="22">
        <v>35.312499999999993</v>
      </c>
      <c r="K196" s="23"/>
      <c r="L196" s="24">
        <f t="shared" si="4"/>
        <v>0</v>
      </c>
    </row>
    <row r="197" spans="1:12" s="12" customFormat="1" ht="36.299999999999997" customHeight="1" x14ac:dyDescent="0.3">
      <c r="A197" s="109" t="s">
        <v>124</v>
      </c>
      <c r="B197" s="110" t="s">
        <v>92</v>
      </c>
      <c r="C197" s="111">
        <v>848869017575</v>
      </c>
      <c r="D197" s="112" t="s">
        <v>35</v>
      </c>
      <c r="E197" s="112" t="s">
        <v>69</v>
      </c>
      <c r="F197" s="112" t="s">
        <v>14</v>
      </c>
      <c r="G197" s="13" t="s">
        <v>38</v>
      </c>
      <c r="H197" s="109" t="s">
        <v>109</v>
      </c>
      <c r="I197" s="14">
        <v>69.95</v>
      </c>
      <c r="J197" s="9">
        <v>25</v>
      </c>
      <c r="K197" s="10"/>
      <c r="L197" s="11">
        <f t="shared" si="4"/>
        <v>0</v>
      </c>
    </row>
    <row r="198" spans="1:12" s="12" customFormat="1" ht="36.299999999999997" customHeight="1" x14ac:dyDescent="0.3">
      <c r="A198" s="109" t="s">
        <v>124</v>
      </c>
      <c r="B198" s="113" t="s">
        <v>55</v>
      </c>
      <c r="C198" s="111">
        <v>848869012952</v>
      </c>
      <c r="D198" s="109" t="s">
        <v>35</v>
      </c>
      <c r="E198" s="109" t="s">
        <v>13</v>
      </c>
      <c r="F198" s="109" t="s">
        <v>36</v>
      </c>
      <c r="G198" s="109" t="s">
        <v>38</v>
      </c>
      <c r="H198" s="109" t="s">
        <v>109</v>
      </c>
      <c r="I198" s="216">
        <v>99.95</v>
      </c>
      <c r="J198" s="9">
        <v>35.312499999999993</v>
      </c>
      <c r="K198" s="10"/>
      <c r="L198" s="11">
        <f t="shared" si="4"/>
        <v>0</v>
      </c>
    </row>
    <row r="199" spans="1:12" s="12" customFormat="1" ht="36.299999999999997" customHeight="1" x14ac:dyDescent="0.3">
      <c r="A199" s="109" t="s">
        <v>124</v>
      </c>
      <c r="B199" s="113" t="s">
        <v>52</v>
      </c>
      <c r="C199" s="111">
        <v>848869012891</v>
      </c>
      <c r="D199" s="109" t="s">
        <v>35</v>
      </c>
      <c r="E199" s="109" t="s">
        <v>31</v>
      </c>
      <c r="F199" s="109" t="s">
        <v>16</v>
      </c>
      <c r="G199" s="109" t="s">
        <v>38</v>
      </c>
      <c r="H199" s="109" t="s">
        <v>109</v>
      </c>
      <c r="I199" s="14">
        <v>89.95</v>
      </c>
      <c r="J199" s="9">
        <v>31.562499999999996</v>
      </c>
      <c r="K199" s="10"/>
      <c r="L199" s="11">
        <f t="shared" si="4"/>
        <v>0</v>
      </c>
    </row>
    <row r="200" spans="1:12" s="12" customFormat="1" ht="36.299999999999997" customHeight="1" x14ac:dyDescent="0.3">
      <c r="A200" s="109" t="s">
        <v>124</v>
      </c>
      <c r="B200" s="113" t="s">
        <v>444</v>
      </c>
      <c r="C200" s="111">
        <v>848869027024</v>
      </c>
      <c r="D200" s="109" t="s">
        <v>445</v>
      </c>
      <c r="E200" s="109" t="s">
        <v>76</v>
      </c>
      <c r="F200" s="109" t="s">
        <v>14</v>
      </c>
      <c r="G200" s="109" t="s">
        <v>38</v>
      </c>
      <c r="H200" s="109" t="s">
        <v>109</v>
      </c>
      <c r="I200" s="216">
        <v>69.95</v>
      </c>
      <c r="J200" s="9">
        <v>25</v>
      </c>
      <c r="K200" s="10"/>
      <c r="L200" s="11">
        <f t="shared" si="4"/>
        <v>0</v>
      </c>
    </row>
    <row r="201" spans="1:12" s="12" customFormat="1" ht="36.299999999999997" customHeight="1" thickBot="1" x14ac:dyDescent="0.35">
      <c r="A201" s="142" t="s">
        <v>124</v>
      </c>
      <c r="B201" s="191" t="s">
        <v>53</v>
      </c>
      <c r="C201" s="145">
        <v>848869012884</v>
      </c>
      <c r="D201" s="142" t="s">
        <v>37</v>
      </c>
      <c r="E201" s="142" t="s">
        <v>32</v>
      </c>
      <c r="F201" s="142" t="s">
        <v>18</v>
      </c>
      <c r="G201" s="142" t="s">
        <v>38</v>
      </c>
      <c r="H201" s="142" t="s">
        <v>109</v>
      </c>
      <c r="I201" s="72">
        <v>99.95</v>
      </c>
      <c r="J201" s="18">
        <v>35.312499999999993</v>
      </c>
      <c r="K201" s="19"/>
      <c r="L201" s="20">
        <f t="shared" si="4"/>
        <v>0</v>
      </c>
    </row>
    <row r="202" spans="1:12" s="12" customFormat="1" ht="36.299999999999997" customHeight="1" x14ac:dyDescent="0.3">
      <c r="A202" s="151" t="s">
        <v>124</v>
      </c>
      <c r="B202" s="190">
        <v>1800410592</v>
      </c>
      <c r="C202" s="154">
        <v>848869022180</v>
      </c>
      <c r="D202" s="151" t="s">
        <v>164</v>
      </c>
      <c r="E202" s="151" t="s">
        <v>12</v>
      </c>
      <c r="F202" s="151" t="s">
        <v>14</v>
      </c>
      <c r="G202" s="151" t="s">
        <v>166</v>
      </c>
      <c r="H202" s="151" t="s">
        <v>109</v>
      </c>
      <c r="I202" s="54">
        <v>59.95</v>
      </c>
      <c r="J202" s="22">
        <v>19.375</v>
      </c>
      <c r="K202" s="23"/>
      <c r="L202" s="24">
        <f t="shared" si="4"/>
        <v>0</v>
      </c>
    </row>
    <row r="203" spans="1:12" s="12" customFormat="1" ht="36.299999999999997" customHeight="1" x14ac:dyDescent="0.3">
      <c r="A203" s="109" t="s">
        <v>124</v>
      </c>
      <c r="B203" s="113">
        <v>1800405346</v>
      </c>
      <c r="C203" s="111">
        <v>848869022173</v>
      </c>
      <c r="D203" s="109" t="s">
        <v>162</v>
      </c>
      <c r="E203" s="109" t="s">
        <v>165</v>
      </c>
      <c r="F203" s="109" t="s">
        <v>14</v>
      </c>
      <c r="G203" s="109" t="s">
        <v>166</v>
      </c>
      <c r="H203" s="109" t="s">
        <v>109</v>
      </c>
      <c r="I203" s="14">
        <v>59.95</v>
      </c>
      <c r="J203" s="9">
        <v>19.375</v>
      </c>
      <c r="K203" s="10">
        <v>6</v>
      </c>
      <c r="L203" s="11">
        <f t="shared" si="4"/>
        <v>116.25</v>
      </c>
    </row>
    <row r="204" spans="1:12" s="12" customFormat="1" ht="36.299999999999997" customHeight="1" x14ac:dyDescent="0.3">
      <c r="A204" s="109" t="s">
        <v>124</v>
      </c>
      <c r="B204" s="113" t="s">
        <v>232</v>
      </c>
      <c r="C204" s="111" t="s">
        <v>235</v>
      </c>
      <c r="D204" s="109" t="s">
        <v>237</v>
      </c>
      <c r="E204" s="109" t="s">
        <v>233</v>
      </c>
      <c r="F204" s="109" t="s">
        <v>14</v>
      </c>
      <c r="G204" s="109" t="s">
        <v>166</v>
      </c>
      <c r="H204" s="109" t="s">
        <v>109</v>
      </c>
      <c r="I204" s="14">
        <v>59.95</v>
      </c>
      <c r="J204" s="9">
        <v>19.375</v>
      </c>
      <c r="K204" s="10">
        <v>10</v>
      </c>
      <c r="L204" s="11">
        <f t="shared" si="4"/>
        <v>193.75</v>
      </c>
    </row>
    <row r="205" spans="1:12" s="12" customFormat="1" ht="36.299999999999997" customHeight="1" x14ac:dyDescent="0.3">
      <c r="A205" s="109" t="s">
        <v>124</v>
      </c>
      <c r="B205" s="113">
        <v>1800409081</v>
      </c>
      <c r="C205" s="111">
        <v>848869022685</v>
      </c>
      <c r="D205" s="109" t="s">
        <v>163</v>
      </c>
      <c r="E205" s="109" t="s">
        <v>248</v>
      </c>
      <c r="F205" s="109" t="s">
        <v>14</v>
      </c>
      <c r="G205" s="109" t="s">
        <v>166</v>
      </c>
      <c r="H205" s="109" t="s">
        <v>109</v>
      </c>
      <c r="I205" s="14">
        <v>59.95</v>
      </c>
      <c r="J205" s="9">
        <v>19.375</v>
      </c>
      <c r="K205" s="10">
        <v>2</v>
      </c>
      <c r="L205" s="11">
        <f t="shared" si="4"/>
        <v>38.75</v>
      </c>
    </row>
    <row r="206" spans="1:12" s="12" customFormat="1" ht="36.299999999999997" customHeight="1" thickBot="1" x14ac:dyDescent="0.35">
      <c r="A206" s="137" t="s">
        <v>124</v>
      </c>
      <c r="B206" s="232" t="s">
        <v>231</v>
      </c>
      <c r="C206" s="140" t="s">
        <v>234</v>
      </c>
      <c r="D206" s="137" t="s">
        <v>236</v>
      </c>
      <c r="E206" s="137" t="s">
        <v>250</v>
      </c>
      <c r="F206" s="137" t="s">
        <v>14</v>
      </c>
      <c r="G206" s="137" t="s">
        <v>166</v>
      </c>
      <c r="H206" s="137" t="s">
        <v>109</v>
      </c>
      <c r="I206" s="66">
        <v>59.95</v>
      </c>
      <c r="J206" s="47">
        <v>19.375</v>
      </c>
      <c r="K206" s="33"/>
      <c r="L206" s="34">
        <f t="shared" si="4"/>
        <v>0</v>
      </c>
    </row>
    <row r="207" spans="1:12" s="37" customFormat="1" ht="36.299999999999997" customHeight="1" thickBot="1" x14ac:dyDescent="0.35">
      <c r="A207" s="262" t="s">
        <v>124</v>
      </c>
      <c r="B207" s="238" t="s">
        <v>599</v>
      </c>
      <c r="C207" s="239">
        <v>848869032783</v>
      </c>
      <c r="D207" s="262" t="s">
        <v>600</v>
      </c>
      <c r="E207" s="262" t="s">
        <v>405</v>
      </c>
      <c r="F207" s="262" t="s">
        <v>14</v>
      </c>
      <c r="G207" s="262" t="s">
        <v>166</v>
      </c>
      <c r="H207" s="262" t="s">
        <v>109</v>
      </c>
      <c r="I207" s="287">
        <v>59.95</v>
      </c>
      <c r="J207" s="242">
        <v>19.375</v>
      </c>
      <c r="K207" s="243"/>
      <c r="L207" s="60">
        <f t="shared" si="4"/>
        <v>0</v>
      </c>
    </row>
    <row r="208" spans="1:12" s="12" customFormat="1" ht="36.299999999999997" customHeight="1" x14ac:dyDescent="0.3">
      <c r="A208" s="209" t="s">
        <v>124</v>
      </c>
      <c r="B208" s="310">
        <v>1800400178</v>
      </c>
      <c r="C208" s="234">
        <v>848869022692</v>
      </c>
      <c r="D208" s="209" t="s">
        <v>161</v>
      </c>
      <c r="E208" s="209" t="s">
        <v>249</v>
      </c>
      <c r="F208" s="209" t="s">
        <v>14</v>
      </c>
      <c r="G208" s="209" t="s">
        <v>166</v>
      </c>
      <c r="H208" s="209" t="s">
        <v>109</v>
      </c>
      <c r="I208" s="311">
        <v>59.95</v>
      </c>
      <c r="J208" s="45">
        <v>19.375</v>
      </c>
      <c r="K208" s="30">
        <v>8</v>
      </c>
      <c r="L208" s="31">
        <f t="shared" si="4"/>
        <v>155</v>
      </c>
    </row>
    <row r="209" spans="1:12" s="12" customFormat="1" ht="36.299999999999997" customHeight="1" thickBot="1" x14ac:dyDescent="0.35">
      <c r="A209" s="142" t="s">
        <v>124</v>
      </c>
      <c r="B209" s="191" t="s">
        <v>442</v>
      </c>
      <c r="C209" s="145">
        <v>848869027017</v>
      </c>
      <c r="D209" s="142" t="s">
        <v>443</v>
      </c>
      <c r="E209" s="142" t="s">
        <v>76</v>
      </c>
      <c r="F209" s="142" t="s">
        <v>14</v>
      </c>
      <c r="G209" s="142" t="s">
        <v>166</v>
      </c>
      <c r="H209" s="142" t="s">
        <v>109</v>
      </c>
      <c r="I209" s="72">
        <v>59.95</v>
      </c>
      <c r="J209" s="18">
        <v>19.375</v>
      </c>
      <c r="K209" s="19"/>
      <c r="L209" s="20">
        <f t="shared" si="4"/>
        <v>0</v>
      </c>
    </row>
    <row r="210" spans="1:12" s="12" customFormat="1" ht="36.299999999999997" customHeight="1" x14ac:dyDescent="0.3">
      <c r="A210" s="151" t="s">
        <v>124</v>
      </c>
      <c r="B210" s="190" t="s">
        <v>344</v>
      </c>
      <c r="C210" s="154" t="s">
        <v>355</v>
      </c>
      <c r="D210" s="151" t="s">
        <v>350</v>
      </c>
      <c r="E210" s="151" t="s">
        <v>255</v>
      </c>
      <c r="F210" s="151" t="s">
        <v>14</v>
      </c>
      <c r="G210" s="233" t="s">
        <v>359</v>
      </c>
      <c r="H210" s="151" t="s">
        <v>109</v>
      </c>
      <c r="I210" s="21">
        <v>59.95</v>
      </c>
      <c r="J210" s="22">
        <v>19.375</v>
      </c>
      <c r="K210" s="23"/>
      <c r="L210" s="24">
        <f t="shared" si="4"/>
        <v>0</v>
      </c>
    </row>
    <row r="211" spans="1:12" s="12" customFormat="1" ht="36.299999999999997" customHeight="1" x14ac:dyDescent="0.3">
      <c r="A211" s="109" t="s">
        <v>124</v>
      </c>
      <c r="B211" s="113" t="s">
        <v>345</v>
      </c>
      <c r="C211" s="111" t="s">
        <v>356</v>
      </c>
      <c r="D211" s="109" t="s">
        <v>350</v>
      </c>
      <c r="E211" s="109" t="s">
        <v>358</v>
      </c>
      <c r="F211" s="109" t="s">
        <v>14</v>
      </c>
      <c r="G211" s="137" t="s">
        <v>359</v>
      </c>
      <c r="H211" s="109" t="s">
        <v>109</v>
      </c>
      <c r="I211" s="26">
        <v>59.95</v>
      </c>
      <c r="J211" s="9">
        <v>19.375</v>
      </c>
      <c r="K211" s="10"/>
      <c r="L211" s="11">
        <f t="shared" si="4"/>
        <v>0</v>
      </c>
    </row>
    <row r="212" spans="1:12" s="12" customFormat="1" ht="36.299999999999997" customHeight="1" x14ac:dyDescent="0.3">
      <c r="A212" s="109" t="s">
        <v>124</v>
      </c>
      <c r="B212" s="113" t="s">
        <v>343</v>
      </c>
      <c r="C212" s="111" t="s">
        <v>354</v>
      </c>
      <c r="D212" s="109" t="s">
        <v>349</v>
      </c>
      <c r="E212" s="109" t="s">
        <v>76</v>
      </c>
      <c r="F212" s="109" t="s">
        <v>14</v>
      </c>
      <c r="G212" s="137" t="s">
        <v>359</v>
      </c>
      <c r="H212" s="109" t="s">
        <v>109</v>
      </c>
      <c r="I212" s="26">
        <v>59.95</v>
      </c>
      <c r="J212" s="9">
        <v>19.375</v>
      </c>
      <c r="K212" s="10"/>
      <c r="L212" s="11">
        <f t="shared" si="4"/>
        <v>0</v>
      </c>
    </row>
    <row r="213" spans="1:12" s="12" customFormat="1" ht="36.299999999999997" customHeight="1" x14ac:dyDescent="0.3">
      <c r="A213" s="109" t="s">
        <v>124</v>
      </c>
      <c r="B213" s="113" t="s">
        <v>341</v>
      </c>
      <c r="C213" s="111" t="s">
        <v>352</v>
      </c>
      <c r="D213" s="109" t="s">
        <v>347</v>
      </c>
      <c r="E213" s="109" t="s">
        <v>165</v>
      </c>
      <c r="F213" s="109" t="s">
        <v>14</v>
      </c>
      <c r="G213" s="137" t="s">
        <v>359</v>
      </c>
      <c r="H213" s="109" t="s">
        <v>109</v>
      </c>
      <c r="I213" s="26">
        <v>59.95</v>
      </c>
      <c r="J213" s="9">
        <v>19.375</v>
      </c>
      <c r="K213" s="10"/>
      <c r="L213" s="11">
        <f t="shared" si="4"/>
        <v>0</v>
      </c>
    </row>
    <row r="214" spans="1:12" s="12" customFormat="1" ht="36.299999999999997" customHeight="1" x14ac:dyDescent="0.3">
      <c r="A214" s="109" t="s">
        <v>124</v>
      </c>
      <c r="B214" s="113" t="s">
        <v>340</v>
      </c>
      <c r="C214" s="111" t="s">
        <v>351</v>
      </c>
      <c r="D214" s="109" t="s">
        <v>346</v>
      </c>
      <c r="E214" s="109" t="s">
        <v>357</v>
      </c>
      <c r="F214" s="109" t="s">
        <v>14</v>
      </c>
      <c r="G214" s="137" t="s">
        <v>359</v>
      </c>
      <c r="H214" s="109" t="s">
        <v>109</v>
      </c>
      <c r="I214" s="26">
        <v>59.95</v>
      </c>
      <c r="J214" s="9">
        <v>19.375</v>
      </c>
      <c r="K214" s="10"/>
      <c r="L214" s="11">
        <f t="shared" si="4"/>
        <v>0</v>
      </c>
    </row>
    <row r="215" spans="1:12" s="12" customFormat="1" ht="36.299999999999997" customHeight="1" thickBot="1" x14ac:dyDescent="0.35">
      <c r="A215" s="142" t="s">
        <v>124</v>
      </c>
      <c r="B215" s="191" t="s">
        <v>342</v>
      </c>
      <c r="C215" s="145" t="s">
        <v>353</v>
      </c>
      <c r="D215" s="142" t="s">
        <v>348</v>
      </c>
      <c r="E215" s="142" t="s">
        <v>247</v>
      </c>
      <c r="F215" s="142" t="s">
        <v>14</v>
      </c>
      <c r="G215" s="142" t="s">
        <v>359</v>
      </c>
      <c r="H215" s="142" t="s">
        <v>109</v>
      </c>
      <c r="I215" s="57">
        <v>59.95</v>
      </c>
      <c r="J215" s="18">
        <v>19.375</v>
      </c>
      <c r="K215" s="19"/>
      <c r="L215" s="20">
        <f t="shared" si="4"/>
        <v>0</v>
      </c>
    </row>
    <row r="216" spans="1:12" s="12" customFormat="1" ht="31.5" customHeight="1" thickBot="1" x14ac:dyDescent="0.35">
      <c r="A216" s="17"/>
      <c r="B216" s="78"/>
      <c r="C216" s="79"/>
      <c r="D216" s="17"/>
      <c r="E216" s="17"/>
      <c r="F216" s="17"/>
      <c r="G216" s="17"/>
      <c r="H216" s="17"/>
      <c r="I216" s="17"/>
      <c r="J216" s="17"/>
      <c r="K216" s="56">
        <f>SUM(K5:K215)</f>
        <v>158</v>
      </c>
      <c r="L216" s="80">
        <f>SUM(L5:L215)</f>
        <v>3298.75</v>
      </c>
    </row>
    <row r="217" spans="1:12" s="12" customFormat="1" ht="27.75" customHeight="1" x14ac:dyDescent="0.3">
      <c r="A217" s="17"/>
      <c r="B217" s="78"/>
      <c r="C217" s="79"/>
      <c r="D217" s="17"/>
      <c r="E217" s="17"/>
      <c r="F217" s="17"/>
      <c r="G217" s="17"/>
      <c r="H217" s="17"/>
      <c r="I217" s="17"/>
      <c r="J217" s="17"/>
      <c r="K217" s="81"/>
      <c r="L217" s="17"/>
    </row>
  </sheetData>
  <autoFilter ref="B4:L216" xr:uid="{926DA033-BF3D-4122-A47A-C39E194293A0}">
    <sortState xmlns:xlrd2="http://schemas.microsoft.com/office/spreadsheetml/2017/richdata2" ref="B5:L216">
      <sortCondition ref="D4:D215"/>
    </sortState>
  </autoFilter>
  <sortState xmlns:xlrd2="http://schemas.microsoft.com/office/spreadsheetml/2017/richdata2" ref="A34:L40">
    <sortCondition ref="D34:D40"/>
  </sortState>
  <mergeCells count="6">
    <mergeCell ref="G3:L3"/>
    <mergeCell ref="G2:L2"/>
    <mergeCell ref="A1:A4"/>
    <mergeCell ref="B1:L1"/>
    <mergeCell ref="D2:F2"/>
    <mergeCell ref="D3:F3"/>
  </mergeCells>
  <phoneticPr fontId="25" type="noConversion"/>
  <conditionalFormatting sqref="A5:I215">
    <cfRule type="expression" dxfId="0" priority="1">
      <formula>MOD(ROW(),2)=0</formula>
    </cfRule>
  </conditionalFormatting>
  <printOptions horizontalCentered="1"/>
  <pageMargins left="0.5" right="0.5" top="0.5" bottom="0.5" header="0" footer="0"/>
  <pageSetup scale="29" fitToHeight="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 Order Form</vt:lpstr>
      <vt:lpstr>'2026 Order Form'!Área_de_impresión</vt:lpstr>
    </vt:vector>
  </TitlesOfParts>
  <Company>Tifosi Optics,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Distributor Order Form</dc:title>
  <dc:creator>Tifosi Optics</dc:creator>
  <cp:lastModifiedBy>Joel Morales</cp:lastModifiedBy>
  <cp:lastPrinted>2024-09-25T14:22:35Z</cp:lastPrinted>
  <dcterms:created xsi:type="dcterms:W3CDTF">2011-06-09T17:03:08Z</dcterms:created>
  <dcterms:modified xsi:type="dcterms:W3CDTF">2026-10-20T14:18:51Z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</vt:lpwstr>
  </property>
</Properties>
</file>