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rupopiazza-my.sharepoint.com/personal/jperaza_bmc_com_pa/Documents/Documentos/Pedidos/2026/Asics/F26/Clientes/"/>
    </mc:Choice>
  </mc:AlternateContent>
  <xr:revisionPtr revIDLastSave="0" documentId="8_{89603E29-4055-4534-97F0-995AC30918B8}" xr6:coauthVersionLast="47" xr6:coauthVersionMax="47" xr10:uidLastSave="{00000000-0000-0000-0000-000000000000}"/>
  <bookViews>
    <workbookView xWindow="-110" yWindow="-110" windowWidth="19420" windowHeight="10300" xr2:uid="{D4E1B120-4F9F-4380-B971-1C09F70EF796}"/>
  </bookViews>
  <sheets>
    <sheet name="FTWR F26" sheetId="1" r:id="rId1"/>
    <sheet name="Curvas RTW" sheetId="2" r:id="rId2"/>
  </sheets>
  <definedNames>
    <definedName name="_xlnm._FilterDatabase" localSheetId="0" hidden="1">'FTWR F26'!$B$4:$I$70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2" l="1"/>
  <c r="Q8" i="2" s="1"/>
  <c r="O8" i="2"/>
  <c r="N8" i="2"/>
  <c r="M8" i="2"/>
  <c r="L8" i="2"/>
  <c r="K8" i="2"/>
  <c r="Q7" i="2"/>
  <c r="H5" i="2"/>
  <c r="G5" i="2"/>
  <c r="F5" i="2"/>
  <c r="E5" i="2"/>
  <c r="D5" i="2"/>
  <c r="Q5" i="2" s="1"/>
  <c r="P4" i="2"/>
  <c r="O4" i="2"/>
  <c r="F4" i="2"/>
  <c r="E4" i="2"/>
  <c r="D4" i="2"/>
  <c r="Q4" i="2" s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3" i="1" l="1"/>
</calcChain>
</file>

<file path=xl/sharedStrings.xml><?xml version="1.0" encoding="utf-8"?>
<sst xmlns="http://schemas.openxmlformats.org/spreadsheetml/2006/main" count="534" uniqueCount="201">
  <si>
    <t>ASICS FW26 - ORDER FORM_FOOTWEAR</t>
  </si>
  <si>
    <t>ESCALAS ASIA HOMBRE</t>
  </si>
  <si>
    <t>ESCALAS ASIA MUJERES</t>
  </si>
  <si>
    <t>IMAGEN</t>
  </si>
  <si>
    <t>STYLE-COLOR</t>
  </si>
  <si>
    <t>STYLE NAME</t>
  </si>
  <si>
    <t>GENDER</t>
  </si>
  <si>
    <t>COLOR NAME</t>
  </si>
  <si>
    <t>KEY COLOR</t>
  </si>
  <si>
    <t>CATEGORIA</t>
  </si>
  <si>
    <t>SUB-CATEGORY</t>
  </si>
  <si>
    <t>PDV USD</t>
  </si>
  <si>
    <t>Y1</t>
  </si>
  <si>
    <t>Y10</t>
  </si>
  <si>
    <t>Y9</t>
  </si>
  <si>
    <t>UM1</t>
  </si>
  <si>
    <t>UM2</t>
  </si>
  <si>
    <t>UM3</t>
  </si>
  <si>
    <t>Y4</t>
  </si>
  <si>
    <t>LW1</t>
  </si>
  <si>
    <t>Y2</t>
  </si>
  <si>
    <t>UW1</t>
  </si>
  <si>
    <t>UW2</t>
  </si>
  <si>
    <t>UW3</t>
  </si>
  <si>
    <t>TOTAL QTY</t>
  </si>
  <si>
    <t>1013A170.400</t>
  </si>
  <si>
    <t>MEGABLAST</t>
  </si>
  <si>
    <t>UNISEX</t>
  </si>
  <si>
    <t>ENERGY AQUA/BLUE FADE</t>
  </si>
  <si>
    <t>N</t>
  </si>
  <si>
    <t>RUNNING</t>
  </si>
  <si>
    <t>PERFORMANCE RUNNING</t>
  </si>
  <si>
    <t>1013A201.800</t>
  </si>
  <si>
    <t>SUPERBLAST 3 TENKA</t>
  </si>
  <si>
    <t>CHERRY TOMATO/WHITE</t>
  </si>
  <si>
    <t>S</t>
  </si>
  <si>
    <t>1013A177.750</t>
  </si>
  <si>
    <t>SUPERBLAST 3</t>
  </si>
  <si>
    <t>ILLUMINATE YELLOW/ENERGY AQUA</t>
  </si>
  <si>
    <t>1013A177.001</t>
  </si>
  <si>
    <t>BLACK/BLACK</t>
  </si>
  <si>
    <t>MEN</t>
  </si>
  <si>
    <t>WOMEN</t>
  </si>
  <si>
    <t>1011C244.100</t>
  </si>
  <si>
    <t>SONICBLAST 2</t>
  </si>
  <si>
    <t>WHITE/STADIUM ORANGE</t>
  </si>
  <si>
    <t>1012C009.100</t>
  </si>
  <si>
    <t>WHITE/SUN CORAL</t>
  </si>
  <si>
    <t>1011C243.102</t>
  </si>
  <si>
    <t>NOVABLAST 6</t>
  </si>
  <si>
    <t>WHITE/ORANGE GLOW</t>
  </si>
  <si>
    <t>1012C008.102</t>
  </si>
  <si>
    <t>WHITE/VIVID CORAL</t>
  </si>
  <si>
    <t>1011C243.700</t>
  </si>
  <si>
    <t>ROSE DUST/ILLUMINATE YELLOW</t>
  </si>
  <si>
    <t>1011C243.401</t>
  </si>
  <si>
    <t>FOGGY TEAL/ILLUMINATE YELLOW</t>
  </si>
  <si>
    <t>1011C243.402</t>
  </si>
  <si>
    <t>MIDNIGHT/ENERGY AQUA</t>
  </si>
  <si>
    <t>1011C243.002</t>
  </si>
  <si>
    <t>1012C008.700</t>
  </si>
  <si>
    <t>1012C008.401</t>
  </si>
  <si>
    <t>FOGGY TEAL/HAZY LILAC</t>
  </si>
  <si>
    <t>1012C008.001</t>
  </si>
  <si>
    <t>BLACK/SOLID AIR</t>
  </si>
  <si>
    <t>1012C008.701</t>
  </si>
  <si>
    <t>HAZY LILAC/ROSE DUST</t>
  </si>
  <si>
    <t>MIDNIGHT/BRIGHT SUNSTONE</t>
  </si>
  <si>
    <t>1011C315.400</t>
  </si>
  <si>
    <t>GEL-KAYANO 33 LITE-SHOW</t>
  </si>
  <si>
    <t>LITE-SHOW/ORANGE GLOW</t>
  </si>
  <si>
    <t>1012C073.400</t>
  </si>
  <si>
    <t>LITE-SHOW/LAVENDER GLOW</t>
  </si>
  <si>
    <t>1011C167.100</t>
  </si>
  <si>
    <t>GEL-KAYANO 33</t>
  </si>
  <si>
    <t>WHITE/ENERGY AQUA</t>
  </si>
  <si>
    <t>1011C167.403</t>
  </si>
  <si>
    <t>1011C167.020</t>
  </si>
  <si>
    <t>PIEDMONT GREY/MIDNIGHT</t>
  </si>
  <si>
    <t>1011C167.402</t>
  </si>
  <si>
    <t>MIDNIGHT/KHAKI GREEN</t>
  </si>
  <si>
    <t>1012B939.100</t>
  </si>
  <si>
    <t>WHITE/HAZY LILAC</t>
  </si>
  <si>
    <t>1012B939.401</t>
  </si>
  <si>
    <t>GRAND SHARK/TARO PURPLE</t>
  </si>
  <si>
    <t>1012B939.402</t>
  </si>
  <si>
    <t>FOGGY TEAL/ROSE DUST</t>
  </si>
  <si>
    <t>1011C235.750</t>
  </si>
  <si>
    <t>GT-2000 15</t>
  </si>
  <si>
    <t>ILLUMINATE YELLOW/FOGGY TEAL</t>
  </si>
  <si>
    <t>1011C235.401</t>
  </si>
  <si>
    <t>1011C235.002</t>
  </si>
  <si>
    <t>BLACK/ENERGY AQUA</t>
  </si>
  <si>
    <t>1012B998.701</t>
  </si>
  <si>
    <t>HAZY LILAC/TARO PURPLE</t>
  </si>
  <si>
    <t>1012B998.401</t>
  </si>
  <si>
    <t>SOLID AIR/CREAM</t>
  </si>
  <si>
    <t>1012B998.002</t>
  </si>
  <si>
    <t>BLACK/TARO PURPLE</t>
  </si>
  <si>
    <t>1013A183.800</t>
  </si>
  <si>
    <t>MAGIC SPEED 5</t>
  </si>
  <si>
    <t>ORANGE GLOW/BLACK</t>
  </si>
  <si>
    <t>1013A183.002</t>
  </si>
  <si>
    <t>BLACK/SUN CORAL</t>
  </si>
  <si>
    <t>1013A187.250</t>
  </si>
  <si>
    <t>GEL-SLOWCUSH</t>
  </si>
  <si>
    <t>SOFT OAT/SIMPLY TAUPE</t>
  </si>
  <si>
    <t>1013A187.800</t>
  </si>
  <si>
    <t>ORANGE GLOW/CHERRY TOMATO</t>
  </si>
  <si>
    <t>1012C019.250</t>
  </si>
  <si>
    <t>BLOOMSTRIDE</t>
  </si>
  <si>
    <t>OATMEAL/GREIGE</t>
  </si>
  <si>
    <t>1012C019.600</t>
  </si>
  <si>
    <t>SPEED RED/BENIIMO PURPLE</t>
  </si>
  <si>
    <t>1011C127.403</t>
  </si>
  <si>
    <t>GEL-NIMBUS 28</t>
  </si>
  <si>
    <t>ENERGY AQUA/MIDNIGHT</t>
  </si>
  <si>
    <t>1011C127.251</t>
  </si>
  <si>
    <t>SOFT OAT/CREAM</t>
  </si>
  <si>
    <t>1011C127.200</t>
  </si>
  <si>
    <t>VINTAGE KHAKI/KHAKI GREEN</t>
  </si>
  <si>
    <t>1011C127.004</t>
  </si>
  <si>
    <t>BLACK/NEON BLUE</t>
  </si>
  <si>
    <t>1011C127.405</t>
  </si>
  <si>
    <t>PRUSSIAN BLUE/CREAM</t>
  </si>
  <si>
    <t>1011C127.102</t>
  </si>
  <si>
    <t>1012B899.502</t>
  </si>
  <si>
    <t>DAHLIA/WHITE</t>
  </si>
  <si>
    <t>1012B899.251</t>
  </si>
  <si>
    <t>1012B899.004</t>
  </si>
  <si>
    <t>1012B899.403</t>
  </si>
  <si>
    <t>SOLID AIR/CALM INDIGO</t>
  </si>
  <si>
    <t>1012B899.102</t>
  </si>
  <si>
    <t>1011C143.021</t>
  </si>
  <si>
    <t>GEL-CUMULUS 28</t>
  </si>
  <si>
    <t>CLOUD GREY/ENERGY AQUA</t>
  </si>
  <si>
    <t>1011C143.006</t>
  </si>
  <si>
    <t>1011C143.250</t>
  </si>
  <si>
    <t>SIMPLY TAUPE/VINTAGE KHAKI</t>
  </si>
  <si>
    <t>1011C143.101</t>
  </si>
  <si>
    <t>WHITE/ENERGY ORANGE</t>
  </si>
  <si>
    <t>1012B916.250</t>
  </si>
  <si>
    <t>OATMEAL/FRESH AIR</t>
  </si>
  <si>
    <t>1012B916.004</t>
  </si>
  <si>
    <t>1012B916.103</t>
  </si>
  <si>
    <t>1013A178.750</t>
  </si>
  <si>
    <t>METAFUJI TRAIL 2</t>
  </si>
  <si>
    <t>ILLUMINATE YELLOW/DARK AUBERGINE</t>
  </si>
  <si>
    <t>1011C164.600</t>
  </si>
  <si>
    <t>TRABUCO MAX 5</t>
  </si>
  <si>
    <t>UMEBOSHI/BLACK</t>
  </si>
  <si>
    <t>1012B937.700</t>
  </si>
  <si>
    <t>ROSE DUST/SUN CORAL</t>
  </si>
  <si>
    <t>1011C166.750</t>
  </si>
  <si>
    <t>TRABUCO 14</t>
  </si>
  <si>
    <t>ILLUMINATE YELLOW/UMEBOSHI</t>
  </si>
  <si>
    <t>1011C166.401</t>
  </si>
  <si>
    <t>OCEAN HAZE/FOGGY TEAL</t>
  </si>
  <si>
    <t>1012B938.701</t>
  </si>
  <si>
    <t>ROSE DUST/UMEBOSHI</t>
  </si>
  <si>
    <t>1012B938.400</t>
  </si>
  <si>
    <t>FOGGY TEAL/RADIANT AMETHYST</t>
  </si>
  <si>
    <t>1011C276.001</t>
  </si>
  <si>
    <t>BLAZEBLAST</t>
  </si>
  <si>
    <t>BLACK/SANDSTORM</t>
  </si>
  <si>
    <t>1011C276.700</t>
  </si>
  <si>
    <t>SUN CORAL/DARK AUBERGINE</t>
  </si>
  <si>
    <t>1012C037.500</t>
  </si>
  <si>
    <t>DARK AUBERGINE/ROSE DUST</t>
  </si>
  <si>
    <t>1012C037.001</t>
  </si>
  <si>
    <t>BLACK/ILLUMINATE MINT</t>
  </si>
  <si>
    <t>ALL$B$24:$$B$24:$V$671;21;0</t>
  </si>
  <si>
    <t>ASICS - Curvas FW 2026</t>
  </si>
  <si>
    <t>CURVA</t>
  </si>
  <si>
    <t>5H</t>
  </si>
  <si>
    <t>6H</t>
  </si>
  <si>
    <t>7H</t>
  </si>
  <si>
    <t>8H</t>
  </si>
  <si>
    <t>9H</t>
  </si>
  <si>
    <t>10H</t>
  </si>
  <si>
    <t>11H</t>
  </si>
  <si>
    <t>TOTAL</t>
  </si>
  <si>
    <t>Men</t>
  </si>
  <si>
    <t>Women</t>
  </si>
  <si>
    <t>3.5/5</t>
  </si>
  <si>
    <t>4/5.5</t>
  </si>
  <si>
    <t>4.5/6</t>
  </si>
  <si>
    <t>5/6.5</t>
  </si>
  <si>
    <t>5.5/7</t>
  </si>
  <si>
    <t>6/7.5</t>
  </si>
  <si>
    <t>6.5/8</t>
  </si>
  <si>
    <t>7.5/9</t>
  </si>
  <si>
    <t>8/9.5</t>
  </si>
  <si>
    <t>8.5/10</t>
  </si>
  <si>
    <t>9/10.5</t>
  </si>
  <si>
    <t>9.5/11</t>
  </si>
  <si>
    <t>10/11.5</t>
  </si>
  <si>
    <t>10.5/12</t>
  </si>
  <si>
    <t>11/12.5</t>
  </si>
  <si>
    <t>11.5/13</t>
  </si>
  <si>
    <t>12/13.5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</si>
</sst>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&quot;R$&quot;\ #,##0.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name val="ASICS Office"/>
    </font>
    <font>
      <b/>
      <sz val="13"/>
      <color rgb="FF002060"/>
      <name val="ASICS Font 3.0"/>
      <family val="3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CCFF"/>
        <bgColor rgb="FF0070C0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rgb="FF0070C0"/>
      </patternFill>
    </fill>
    <fill>
      <patternFill patternType="solid">
        <fgColor rgb="FF92D050"/>
        <bgColor rgb="FF007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BCFF8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/>
  </cellStyleXfs>
  <cellXfs count="56">
    <xf numFmtId="0" fontId="0" fillId="0" borderId="0" xfId="0"/>
    <xf numFmtId="164" fontId="6" fillId="0" borderId="0" xfId="1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5" fontId="8" fillId="2" borderId="1" xfId="0" applyNumberFormat="1" applyFont="1" applyFill="1" applyBorder="1" applyAlignment="1">
      <alignment horizontal="center" vertical="center"/>
    </xf>
    <xf numFmtId="165" fontId="9" fillId="3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/>
    </xf>
    <xf numFmtId="165" fontId="9" fillId="6" borderId="4" xfId="0" applyNumberFormat="1" applyFont="1" applyFill="1" applyBorder="1" applyAlignment="1">
      <alignment horizontal="center" vertical="center"/>
    </xf>
    <xf numFmtId="165" fontId="11" fillId="6" borderId="5" xfId="0" applyNumberFormat="1" applyFont="1" applyFill="1" applyBorder="1" applyAlignment="1">
      <alignment horizontal="center" vertical="center"/>
    </xf>
    <xf numFmtId="165" fontId="9" fillId="7" borderId="6" xfId="0" applyNumberFormat="1" applyFont="1" applyFill="1" applyBorder="1" applyAlignment="1">
      <alignment horizontal="center" vertical="center"/>
    </xf>
    <xf numFmtId="165" fontId="9" fillId="7" borderId="7" xfId="0" applyNumberFormat="1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0" xfId="0" applyFont="1"/>
    <xf numFmtId="0" fontId="15" fillId="0" borderId="0" xfId="0" applyFont="1"/>
    <xf numFmtId="0" fontId="17" fillId="8" borderId="1" xfId="2" applyFont="1" applyFill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4" fillId="13" borderId="1" xfId="2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14" borderId="1" xfId="2" applyFont="1" applyFill="1" applyBorder="1" applyAlignment="1">
      <alignment horizontal="center" vertical="center"/>
    </xf>
    <xf numFmtId="0" fontId="4" fillId="14" borderId="1" xfId="2" applyFon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4" fillId="16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6" borderId="16" xfId="0" applyFont="1" applyFill="1" applyBorder="1" applyAlignment="1">
      <alignment horizontal="center"/>
    </xf>
    <xf numFmtId="0" fontId="0" fillId="0" borderId="1" xfId="0" applyBorder="1"/>
  </cellXfs>
  <cellStyles count="3">
    <cellStyle name="Millares" xfId="1" builtinId="3"/>
    <cellStyle name="Normal" xfId="0" builtinId="0"/>
    <cellStyle name="Normal 3 2" xfId="2" xr:uid="{A75DBCD1-4C89-434F-BF87-32820B830F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46829</xdr:colOff>
      <xdr:row>4</xdr:row>
      <xdr:rowOff>95249</xdr:rowOff>
    </xdr:from>
    <xdr:to>
      <xdr:col>0</xdr:col>
      <xdr:colOff>1353375</xdr:colOff>
      <xdr:row>4</xdr:row>
      <xdr:rowOff>671284</xdr:rowOff>
    </xdr:to>
    <xdr:pic>
      <xdr:nvPicPr>
        <xdr:cNvPr id="2" name="Imagem 645">
          <a:extLst>
            <a:ext uri="{FF2B5EF4-FFF2-40B4-BE49-F238E27FC236}">
              <a16:creationId xmlns:a16="http://schemas.microsoft.com/office/drawing/2014/main" id="{224023CB-42BA-4E50-8393-D8B68A6D4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6829" y="1136649"/>
          <a:ext cx="1306546" cy="576035"/>
        </a:xfrm>
        <a:prstGeom prst="rect">
          <a:avLst/>
        </a:prstGeom>
      </xdr:spPr>
    </xdr:pic>
    <xdr:clientData/>
  </xdr:twoCellAnchor>
  <xdr:twoCellAnchor>
    <xdr:from>
      <xdr:col>0</xdr:col>
      <xdr:colOff>44223</xdr:colOff>
      <xdr:row>5</xdr:row>
      <xdr:rowOff>0</xdr:rowOff>
    </xdr:from>
    <xdr:to>
      <xdr:col>0</xdr:col>
      <xdr:colOff>1366193</xdr:colOff>
      <xdr:row>5</xdr:row>
      <xdr:rowOff>0</xdr:rowOff>
    </xdr:to>
    <xdr:pic>
      <xdr:nvPicPr>
        <xdr:cNvPr id="3" name="Imagem 646">
          <a:extLst>
            <a:ext uri="{FF2B5EF4-FFF2-40B4-BE49-F238E27FC236}">
              <a16:creationId xmlns:a16="http://schemas.microsoft.com/office/drawing/2014/main" id="{54787934-C728-40ED-8661-1545912B2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4223" y="1714500"/>
          <a:ext cx="1321970" cy="0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6</xdr:row>
      <xdr:rowOff>87313</xdr:rowOff>
    </xdr:from>
    <xdr:to>
      <xdr:col>0</xdr:col>
      <xdr:colOff>1322746</xdr:colOff>
      <xdr:row>6</xdr:row>
      <xdr:rowOff>690563</xdr:rowOff>
    </xdr:to>
    <xdr:pic>
      <xdr:nvPicPr>
        <xdr:cNvPr id="4" name="Imagem 647">
          <a:extLst>
            <a:ext uri="{FF2B5EF4-FFF2-40B4-BE49-F238E27FC236}">
              <a16:creationId xmlns:a16="http://schemas.microsoft.com/office/drawing/2014/main" id="{466032D3-3114-4D64-A73A-93C533256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" y="2474913"/>
          <a:ext cx="1290996" cy="584200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8</xdr:row>
      <xdr:rowOff>0</xdr:rowOff>
    </xdr:from>
    <xdr:to>
      <xdr:col>0</xdr:col>
      <xdr:colOff>1286057</xdr:colOff>
      <xdr:row>8</xdr:row>
      <xdr:rowOff>0</xdr:rowOff>
    </xdr:to>
    <xdr:pic>
      <xdr:nvPicPr>
        <xdr:cNvPr id="5" name="Imagem 648">
          <a:extLst>
            <a:ext uri="{FF2B5EF4-FFF2-40B4-BE49-F238E27FC236}">
              <a16:creationId xmlns:a16="http://schemas.microsoft.com/office/drawing/2014/main" id="{2BF1546A-6981-4884-B647-60D54CB37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312" y="3733800"/>
          <a:ext cx="1198745" cy="0"/>
        </a:xfrm>
        <a:prstGeom prst="rect">
          <a:avLst/>
        </a:prstGeom>
      </xdr:spPr>
    </xdr:pic>
    <xdr:clientData/>
  </xdr:twoCellAnchor>
  <xdr:twoCellAnchor>
    <xdr:from>
      <xdr:col>0</xdr:col>
      <xdr:colOff>127002</xdr:colOff>
      <xdr:row>7</xdr:row>
      <xdr:rowOff>119063</xdr:rowOff>
    </xdr:from>
    <xdr:to>
      <xdr:col>0</xdr:col>
      <xdr:colOff>1320380</xdr:colOff>
      <xdr:row>7</xdr:row>
      <xdr:rowOff>674686</xdr:rowOff>
    </xdr:to>
    <xdr:pic>
      <xdr:nvPicPr>
        <xdr:cNvPr id="6" name="Imagem 649">
          <a:extLst>
            <a:ext uri="{FF2B5EF4-FFF2-40B4-BE49-F238E27FC236}">
              <a16:creationId xmlns:a16="http://schemas.microsoft.com/office/drawing/2014/main" id="{1960D397-6423-4199-9569-AA8AB937D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002" y="3179763"/>
          <a:ext cx="1193378" cy="555623"/>
        </a:xfrm>
        <a:prstGeom prst="rect">
          <a:avLst/>
        </a:prstGeom>
      </xdr:spPr>
    </xdr:pic>
    <xdr:clientData/>
  </xdr:twoCellAnchor>
  <xdr:twoCellAnchor>
    <xdr:from>
      <xdr:col>0</xdr:col>
      <xdr:colOff>87313</xdr:colOff>
      <xdr:row>5</xdr:row>
      <xdr:rowOff>75769</xdr:rowOff>
    </xdr:from>
    <xdr:to>
      <xdr:col>0</xdr:col>
      <xdr:colOff>1341438</xdr:colOff>
      <xdr:row>5</xdr:row>
      <xdr:rowOff>665423</xdr:rowOff>
    </xdr:to>
    <xdr:pic>
      <xdr:nvPicPr>
        <xdr:cNvPr id="7" name="Imagem 651">
          <a:extLst>
            <a:ext uri="{FF2B5EF4-FFF2-40B4-BE49-F238E27FC236}">
              <a16:creationId xmlns:a16="http://schemas.microsoft.com/office/drawing/2014/main" id="{E62C7D98-B9DE-4F92-9F63-BAD609A16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313" y="1790269"/>
          <a:ext cx="1254125" cy="589654"/>
        </a:xfrm>
        <a:prstGeom prst="rect">
          <a:avLst/>
        </a:prstGeom>
      </xdr:spPr>
    </xdr:pic>
    <xdr:clientData/>
  </xdr:twoCellAnchor>
  <xdr:twoCellAnchor>
    <xdr:from>
      <xdr:col>0</xdr:col>
      <xdr:colOff>71438</xdr:colOff>
      <xdr:row>8</xdr:row>
      <xdr:rowOff>119062</xdr:rowOff>
    </xdr:from>
    <xdr:to>
      <xdr:col>0</xdr:col>
      <xdr:colOff>1262063</xdr:colOff>
      <xdr:row>8</xdr:row>
      <xdr:rowOff>631813</xdr:rowOff>
    </xdr:to>
    <xdr:pic>
      <xdr:nvPicPr>
        <xdr:cNvPr id="8" name="Imagem 652">
          <a:extLst>
            <a:ext uri="{FF2B5EF4-FFF2-40B4-BE49-F238E27FC236}">
              <a16:creationId xmlns:a16="http://schemas.microsoft.com/office/drawing/2014/main" id="{BBE9C906-92F2-4394-BC90-68436544F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38" y="5199062"/>
          <a:ext cx="1190625" cy="5127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103187</xdr:rowOff>
    </xdr:from>
    <xdr:to>
      <xdr:col>0</xdr:col>
      <xdr:colOff>1253091</xdr:colOff>
      <xdr:row>9</xdr:row>
      <xdr:rowOff>642937</xdr:rowOff>
    </xdr:to>
    <xdr:pic>
      <xdr:nvPicPr>
        <xdr:cNvPr id="9" name="Imagem 655">
          <a:extLst>
            <a:ext uri="{FF2B5EF4-FFF2-40B4-BE49-F238E27FC236}">
              <a16:creationId xmlns:a16="http://schemas.microsoft.com/office/drawing/2014/main" id="{43ADB3A1-D721-466C-A661-78BC35A98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5856287"/>
          <a:ext cx="1253091" cy="539750"/>
        </a:xfrm>
        <a:prstGeom prst="rect">
          <a:avLst/>
        </a:prstGeom>
      </xdr:spPr>
    </xdr:pic>
    <xdr:clientData/>
  </xdr:twoCellAnchor>
  <xdr:twoCellAnchor>
    <xdr:from>
      <xdr:col>0</xdr:col>
      <xdr:colOff>23813</xdr:colOff>
      <xdr:row>15</xdr:row>
      <xdr:rowOff>111127</xdr:rowOff>
    </xdr:from>
    <xdr:to>
      <xdr:col>0</xdr:col>
      <xdr:colOff>1317099</xdr:colOff>
      <xdr:row>15</xdr:row>
      <xdr:rowOff>682627</xdr:rowOff>
    </xdr:to>
    <xdr:pic>
      <xdr:nvPicPr>
        <xdr:cNvPr id="12" name="Imagem 658">
          <a:extLst>
            <a:ext uri="{FF2B5EF4-FFF2-40B4-BE49-F238E27FC236}">
              <a16:creationId xmlns:a16="http://schemas.microsoft.com/office/drawing/2014/main" id="{8FE762BF-9B25-4939-8C06-C6641814F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13" y="9902827"/>
          <a:ext cx="1293286" cy="558800"/>
        </a:xfrm>
        <a:prstGeom prst="rect">
          <a:avLst/>
        </a:prstGeom>
      </xdr:spPr>
    </xdr:pic>
    <xdr:clientData/>
  </xdr:twoCellAnchor>
  <xdr:twoCellAnchor>
    <xdr:from>
      <xdr:col>0</xdr:col>
      <xdr:colOff>23812</xdr:colOff>
      <xdr:row>14</xdr:row>
      <xdr:rowOff>87312</xdr:rowOff>
    </xdr:from>
    <xdr:to>
      <xdr:col>0</xdr:col>
      <xdr:colOff>1268657</xdr:colOff>
      <xdr:row>14</xdr:row>
      <xdr:rowOff>674687</xdr:rowOff>
    </xdr:to>
    <xdr:pic>
      <xdr:nvPicPr>
        <xdr:cNvPr id="13" name="Imagem 660">
          <a:extLst>
            <a:ext uri="{FF2B5EF4-FFF2-40B4-BE49-F238E27FC236}">
              <a16:creationId xmlns:a16="http://schemas.microsoft.com/office/drawing/2014/main" id="{4970280D-2014-4DF0-ABB0-160F43C49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12" y="9205912"/>
          <a:ext cx="1244845" cy="58737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12</xdr:row>
      <xdr:rowOff>47626</xdr:rowOff>
    </xdr:from>
    <xdr:to>
      <xdr:col>0</xdr:col>
      <xdr:colOff>1329619</xdr:colOff>
      <xdr:row>12</xdr:row>
      <xdr:rowOff>682626</xdr:rowOff>
    </xdr:to>
    <xdr:pic>
      <xdr:nvPicPr>
        <xdr:cNvPr id="14" name="Imagem 661">
          <a:extLst>
            <a:ext uri="{FF2B5EF4-FFF2-40B4-BE49-F238E27FC236}">
              <a16:creationId xmlns:a16="http://schemas.microsoft.com/office/drawing/2014/main" id="{8C78C455-9092-4F55-B43C-9EFD04157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7820026"/>
          <a:ext cx="1329618" cy="622300"/>
        </a:xfrm>
        <a:prstGeom prst="rect">
          <a:avLst/>
        </a:prstGeom>
      </xdr:spPr>
    </xdr:pic>
    <xdr:clientData/>
  </xdr:twoCellAnchor>
  <xdr:twoCellAnchor>
    <xdr:from>
      <xdr:col>0</xdr:col>
      <xdr:colOff>119063</xdr:colOff>
      <xdr:row>13</xdr:row>
      <xdr:rowOff>79375</xdr:rowOff>
    </xdr:from>
    <xdr:to>
      <xdr:col>0</xdr:col>
      <xdr:colOff>1309688</xdr:colOff>
      <xdr:row>13</xdr:row>
      <xdr:rowOff>646132</xdr:rowOff>
    </xdr:to>
    <xdr:pic>
      <xdr:nvPicPr>
        <xdr:cNvPr id="15" name="Imagem 662">
          <a:extLst>
            <a:ext uri="{FF2B5EF4-FFF2-40B4-BE49-F238E27FC236}">
              <a16:creationId xmlns:a16="http://schemas.microsoft.com/office/drawing/2014/main" id="{961D222E-A5F5-4244-A774-E928898B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063" y="8524875"/>
          <a:ext cx="1190625" cy="566757"/>
        </a:xfrm>
        <a:prstGeom prst="rect">
          <a:avLst/>
        </a:prstGeom>
      </xdr:spPr>
    </xdr:pic>
    <xdr:clientData/>
  </xdr:twoCellAnchor>
  <xdr:twoCellAnchor>
    <xdr:from>
      <xdr:col>0</xdr:col>
      <xdr:colOff>71438</xdr:colOff>
      <xdr:row>16</xdr:row>
      <xdr:rowOff>71438</xdr:rowOff>
    </xdr:from>
    <xdr:to>
      <xdr:col>0</xdr:col>
      <xdr:colOff>1285876</xdr:colOff>
      <xdr:row>16</xdr:row>
      <xdr:rowOff>651430</xdr:rowOff>
    </xdr:to>
    <xdr:pic>
      <xdr:nvPicPr>
        <xdr:cNvPr id="16" name="Imagem 663">
          <a:extLst>
            <a:ext uri="{FF2B5EF4-FFF2-40B4-BE49-F238E27FC236}">
              <a16:creationId xmlns:a16="http://schemas.microsoft.com/office/drawing/2014/main" id="{BC54EE0E-46A3-45CD-A157-CC5858568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38" y="10536238"/>
          <a:ext cx="1214438" cy="579992"/>
        </a:xfrm>
        <a:prstGeom prst="rect">
          <a:avLst/>
        </a:prstGeom>
      </xdr:spPr>
    </xdr:pic>
    <xdr:clientData/>
  </xdr:twoCellAnchor>
  <xdr:twoCellAnchor>
    <xdr:from>
      <xdr:col>0</xdr:col>
      <xdr:colOff>111126</xdr:colOff>
      <xdr:row>19</xdr:row>
      <xdr:rowOff>87313</xdr:rowOff>
    </xdr:from>
    <xdr:to>
      <xdr:col>0</xdr:col>
      <xdr:colOff>1364632</xdr:colOff>
      <xdr:row>19</xdr:row>
      <xdr:rowOff>676160</xdr:rowOff>
    </xdr:to>
    <xdr:pic>
      <xdr:nvPicPr>
        <xdr:cNvPr id="17" name="Imagem 664">
          <a:extLst>
            <a:ext uri="{FF2B5EF4-FFF2-40B4-BE49-F238E27FC236}">
              <a16:creationId xmlns:a16="http://schemas.microsoft.com/office/drawing/2014/main" id="{5083E081-91B3-4A93-8ACA-9CCBAEDCE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126" y="12571413"/>
          <a:ext cx="1253506" cy="588847"/>
        </a:xfrm>
        <a:prstGeom prst="rect">
          <a:avLst/>
        </a:prstGeom>
      </xdr:spPr>
    </xdr:pic>
    <xdr:clientData/>
  </xdr:twoCellAnchor>
  <xdr:twoCellAnchor>
    <xdr:from>
      <xdr:col>0</xdr:col>
      <xdr:colOff>103188</xdr:colOff>
      <xdr:row>17</xdr:row>
      <xdr:rowOff>39688</xdr:rowOff>
    </xdr:from>
    <xdr:to>
      <xdr:col>0</xdr:col>
      <xdr:colOff>1397249</xdr:colOff>
      <xdr:row>17</xdr:row>
      <xdr:rowOff>655008</xdr:rowOff>
    </xdr:to>
    <xdr:pic>
      <xdr:nvPicPr>
        <xdr:cNvPr id="18" name="Imagem 665">
          <a:extLst>
            <a:ext uri="{FF2B5EF4-FFF2-40B4-BE49-F238E27FC236}">
              <a16:creationId xmlns:a16="http://schemas.microsoft.com/office/drawing/2014/main" id="{D63EC84F-761E-409B-84FF-A86534F01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188" y="11177588"/>
          <a:ext cx="1294061" cy="615320"/>
        </a:xfrm>
        <a:prstGeom prst="rect">
          <a:avLst/>
        </a:prstGeom>
      </xdr:spPr>
    </xdr:pic>
    <xdr:clientData/>
  </xdr:twoCellAnchor>
  <xdr:twoCellAnchor>
    <xdr:from>
      <xdr:col>0</xdr:col>
      <xdr:colOff>182563</xdr:colOff>
      <xdr:row>18</xdr:row>
      <xdr:rowOff>117869</xdr:rowOff>
    </xdr:from>
    <xdr:to>
      <xdr:col>0</xdr:col>
      <xdr:colOff>1373188</xdr:colOff>
      <xdr:row>18</xdr:row>
      <xdr:rowOff>680902</xdr:rowOff>
    </xdr:to>
    <xdr:pic>
      <xdr:nvPicPr>
        <xdr:cNvPr id="19" name="Imagem 666">
          <a:extLst>
            <a:ext uri="{FF2B5EF4-FFF2-40B4-BE49-F238E27FC236}">
              <a16:creationId xmlns:a16="http://schemas.microsoft.com/office/drawing/2014/main" id="{7E0BF4AA-596B-4CA7-80BF-4B28310DA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2563" y="11928869"/>
          <a:ext cx="1190625" cy="556683"/>
        </a:xfrm>
        <a:prstGeom prst="rect">
          <a:avLst/>
        </a:prstGeom>
      </xdr:spPr>
    </xdr:pic>
    <xdr:clientData/>
  </xdr:twoCellAnchor>
  <xdr:twoCellAnchor>
    <xdr:from>
      <xdr:col>0</xdr:col>
      <xdr:colOff>39688</xdr:colOff>
      <xdr:row>20</xdr:row>
      <xdr:rowOff>0</xdr:rowOff>
    </xdr:from>
    <xdr:to>
      <xdr:col>0</xdr:col>
      <xdr:colOff>1276334</xdr:colOff>
      <xdr:row>20</xdr:row>
      <xdr:rowOff>0</xdr:rowOff>
    </xdr:to>
    <xdr:pic>
      <xdr:nvPicPr>
        <xdr:cNvPr id="20" name="Imagem 667">
          <a:extLst>
            <a:ext uri="{FF2B5EF4-FFF2-40B4-BE49-F238E27FC236}">
              <a16:creationId xmlns:a16="http://schemas.microsoft.com/office/drawing/2014/main" id="{B69A2CF8-EF49-4D65-B53E-FD56910BC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8" y="13157200"/>
          <a:ext cx="1236646" cy="0"/>
        </a:xfrm>
        <a:prstGeom prst="rect">
          <a:avLst/>
        </a:prstGeom>
      </xdr:spPr>
    </xdr:pic>
    <xdr:clientData/>
  </xdr:twoCellAnchor>
  <xdr:twoCellAnchor>
    <xdr:from>
      <xdr:col>0</xdr:col>
      <xdr:colOff>111125</xdr:colOff>
      <xdr:row>10</xdr:row>
      <xdr:rowOff>132356</xdr:rowOff>
    </xdr:from>
    <xdr:to>
      <xdr:col>0</xdr:col>
      <xdr:colOff>1341438</xdr:colOff>
      <xdr:row>10</xdr:row>
      <xdr:rowOff>684480</xdr:rowOff>
    </xdr:to>
    <xdr:pic>
      <xdr:nvPicPr>
        <xdr:cNvPr id="21" name="Imagem 668">
          <a:extLst>
            <a:ext uri="{FF2B5EF4-FFF2-40B4-BE49-F238E27FC236}">
              <a16:creationId xmlns:a16="http://schemas.microsoft.com/office/drawing/2014/main" id="{8BD0A415-E998-4364-B19E-4D37216CF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125" y="6558556"/>
          <a:ext cx="1230313" cy="5394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47625</xdr:rowOff>
    </xdr:from>
    <xdr:to>
      <xdr:col>0</xdr:col>
      <xdr:colOff>1333500</xdr:colOff>
      <xdr:row>11</xdr:row>
      <xdr:rowOff>642372</xdr:rowOff>
    </xdr:to>
    <xdr:pic>
      <xdr:nvPicPr>
        <xdr:cNvPr id="22" name="Imagem 671">
          <a:extLst>
            <a:ext uri="{FF2B5EF4-FFF2-40B4-BE49-F238E27FC236}">
              <a16:creationId xmlns:a16="http://schemas.microsoft.com/office/drawing/2014/main" id="{A2E52302-0792-424A-8E31-C45084903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7146925"/>
          <a:ext cx="1333500" cy="594747"/>
        </a:xfrm>
        <a:prstGeom prst="rect">
          <a:avLst/>
        </a:prstGeom>
      </xdr:spPr>
    </xdr:pic>
    <xdr:clientData/>
  </xdr:twoCellAnchor>
  <xdr:twoCellAnchor>
    <xdr:from>
      <xdr:col>0</xdr:col>
      <xdr:colOff>55562</xdr:colOff>
      <xdr:row>20</xdr:row>
      <xdr:rowOff>0</xdr:rowOff>
    </xdr:from>
    <xdr:to>
      <xdr:col>0</xdr:col>
      <xdr:colOff>1349375</xdr:colOff>
      <xdr:row>20</xdr:row>
      <xdr:rowOff>0</xdr:rowOff>
    </xdr:to>
    <xdr:pic>
      <xdr:nvPicPr>
        <xdr:cNvPr id="35" name="Imagem 690">
          <a:extLst>
            <a:ext uri="{FF2B5EF4-FFF2-40B4-BE49-F238E27FC236}">
              <a16:creationId xmlns:a16="http://schemas.microsoft.com/office/drawing/2014/main" id="{B6A284E1-176E-4E38-8244-CFD0E95D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62" y="20600988"/>
          <a:ext cx="1293813" cy="635625"/>
        </a:xfrm>
        <a:prstGeom prst="rect">
          <a:avLst/>
        </a:prstGeom>
      </xdr:spPr>
    </xdr:pic>
    <xdr:clientData/>
  </xdr:twoCellAnchor>
  <xdr:twoCellAnchor>
    <xdr:from>
      <xdr:col>0</xdr:col>
      <xdr:colOff>71437</xdr:colOff>
      <xdr:row>22</xdr:row>
      <xdr:rowOff>87313</xdr:rowOff>
    </xdr:from>
    <xdr:to>
      <xdr:col>0</xdr:col>
      <xdr:colOff>1342255</xdr:colOff>
      <xdr:row>22</xdr:row>
      <xdr:rowOff>698500</xdr:rowOff>
    </xdr:to>
    <xdr:pic>
      <xdr:nvPicPr>
        <xdr:cNvPr id="36" name="Imagem 691">
          <a:extLst>
            <a:ext uri="{FF2B5EF4-FFF2-40B4-BE49-F238E27FC236}">
              <a16:creationId xmlns:a16="http://schemas.microsoft.com/office/drawing/2014/main" id="{0A0B922A-4DEC-4BF2-8B89-CF15AF9C4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37" y="22667913"/>
          <a:ext cx="1270818" cy="585787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24</xdr:row>
      <xdr:rowOff>55563</xdr:rowOff>
    </xdr:from>
    <xdr:to>
      <xdr:col>0</xdr:col>
      <xdr:colOff>1330098</xdr:colOff>
      <xdr:row>24</xdr:row>
      <xdr:rowOff>658813</xdr:rowOff>
    </xdr:to>
    <xdr:pic>
      <xdr:nvPicPr>
        <xdr:cNvPr id="37" name="Imagem 693">
          <a:extLst>
            <a:ext uri="{FF2B5EF4-FFF2-40B4-BE49-F238E27FC236}">
              <a16:creationId xmlns:a16="http://schemas.microsoft.com/office/drawing/2014/main" id="{957EFD86-FD47-4DB4-AF10-62D68F5E3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312" y="23982363"/>
          <a:ext cx="1242786" cy="603250"/>
        </a:xfrm>
        <a:prstGeom prst="rect">
          <a:avLst/>
        </a:prstGeom>
      </xdr:spPr>
    </xdr:pic>
    <xdr:clientData/>
  </xdr:twoCellAnchor>
  <xdr:twoCellAnchor>
    <xdr:from>
      <xdr:col>0</xdr:col>
      <xdr:colOff>55563</xdr:colOff>
      <xdr:row>23</xdr:row>
      <xdr:rowOff>55563</xdr:rowOff>
    </xdr:from>
    <xdr:to>
      <xdr:col>0</xdr:col>
      <xdr:colOff>1355784</xdr:colOff>
      <xdr:row>23</xdr:row>
      <xdr:rowOff>682625</xdr:rowOff>
    </xdr:to>
    <xdr:pic>
      <xdr:nvPicPr>
        <xdr:cNvPr id="38" name="Imagem 694">
          <a:extLst>
            <a:ext uri="{FF2B5EF4-FFF2-40B4-BE49-F238E27FC236}">
              <a16:creationId xmlns:a16="http://schemas.microsoft.com/office/drawing/2014/main" id="{F523BC19-6D36-4940-B8F9-861F1C69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63" y="23309263"/>
          <a:ext cx="1300221" cy="614362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25</xdr:row>
      <xdr:rowOff>76345</xdr:rowOff>
    </xdr:from>
    <xdr:to>
      <xdr:col>0</xdr:col>
      <xdr:colOff>1388031</xdr:colOff>
      <xdr:row>25</xdr:row>
      <xdr:rowOff>706437</xdr:rowOff>
    </xdr:to>
    <xdr:pic>
      <xdr:nvPicPr>
        <xdr:cNvPr id="39" name="Imagem 695">
          <a:extLst>
            <a:ext uri="{FF2B5EF4-FFF2-40B4-BE49-F238E27FC236}">
              <a16:creationId xmlns:a16="http://schemas.microsoft.com/office/drawing/2014/main" id="{9EBA8388-60C3-4355-AA7F-98B6EF55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24676245"/>
          <a:ext cx="1388030" cy="598342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20</xdr:row>
      <xdr:rowOff>79375</xdr:rowOff>
    </xdr:from>
    <xdr:to>
      <xdr:col>0</xdr:col>
      <xdr:colOff>1389063</xdr:colOff>
      <xdr:row>20</xdr:row>
      <xdr:rowOff>704146</xdr:rowOff>
    </xdr:to>
    <xdr:pic>
      <xdr:nvPicPr>
        <xdr:cNvPr id="40" name="Imagem 696">
          <a:extLst>
            <a:ext uri="{FF2B5EF4-FFF2-40B4-BE49-F238E27FC236}">
              <a16:creationId xmlns:a16="http://schemas.microsoft.com/office/drawing/2014/main" id="{651F3446-E3F8-41FB-BA03-C56A99FD9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" y="21313775"/>
          <a:ext cx="1357313" cy="593021"/>
        </a:xfrm>
        <a:prstGeom prst="rect">
          <a:avLst/>
        </a:prstGeom>
      </xdr:spPr>
    </xdr:pic>
    <xdr:clientData/>
  </xdr:twoCellAnchor>
  <xdr:twoCellAnchor>
    <xdr:from>
      <xdr:col>0</xdr:col>
      <xdr:colOff>134938</xdr:colOff>
      <xdr:row>26</xdr:row>
      <xdr:rowOff>71438</xdr:rowOff>
    </xdr:from>
    <xdr:to>
      <xdr:col>0</xdr:col>
      <xdr:colOff>1341438</xdr:colOff>
      <xdr:row>26</xdr:row>
      <xdr:rowOff>653560</xdr:rowOff>
    </xdr:to>
    <xdr:pic>
      <xdr:nvPicPr>
        <xdr:cNvPr id="41" name="Imagem 698">
          <a:extLst>
            <a:ext uri="{FF2B5EF4-FFF2-40B4-BE49-F238E27FC236}">
              <a16:creationId xmlns:a16="http://schemas.microsoft.com/office/drawing/2014/main" id="{BCB6E17B-D787-4E30-B891-19B648E15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4938" y="25344438"/>
          <a:ext cx="1206500" cy="582122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27</xdr:row>
      <xdr:rowOff>31750</xdr:rowOff>
    </xdr:from>
    <xdr:to>
      <xdr:col>0</xdr:col>
      <xdr:colOff>1332918</xdr:colOff>
      <xdr:row>27</xdr:row>
      <xdr:rowOff>658812</xdr:rowOff>
    </xdr:to>
    <xdr:pic>
      <xdr:nvPicPr>
        <xdr:cNvPr id="42" name="Imagem 699">
          <a:extLst>
            <a:ext uri="{FF2B5EF4-FFF2-40B4-BE49-F238E27FC236}">
              <a16:creationId xmlns:a16="http://schemas.microsoft.com/office/drawing/2014/main" id="{46BDA075-6B86-4934-9A9F-E50EA2582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25977850"/>
          <a:ext cx="1293231" cy="627062"/>
        </a:xfrm>
        <a:prstGeom prst="rect">
          <a:avLst/>
        </a:prstGeom>
      </xdr:spPr>
    </xdr:pic>
    <xdr:clientData/>
  </xdr:twoCellAnchor>
  <xdr:twoCellAnchor>
    <xdr:from>
      <xdr:col>0</xdr:col>
      <xdr:colOff>31751</xdr:colOff>
      <xdr:row>29</xdr:row>
      <xdr:rowOff>0</xdr:rowOff>
    </xdr:from>
    <xdr:to>
      <xdr:col>0</xdr:col>
      <xdr:colOff>1389064</xdr:colOff>
      <xdr:row>29</xdr:row>
      <xdr:rowOff>0</xdr:rowOff>
    </xdr:to>
    <xdr:pic>
      <xdr:nvPicPr>
        <xdr:cNvPr id="43" name="Imagem 700">
          <a:extLst>
            <a:ext uri="{FF2B5EF4-FFF2-40B4-BE49-F238E27FC236}">
              <a16:creationId xmlns:a16="http://schemas.microsoft.com/office/drawing/2014/main" id="{768F6D38-2E69-48BB-B0AE-B7D186A0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1" y="27292300"/>
          <a:ext cx="1357313" cy="0"/>
        </a:xfrm>
        <a:prstGeom prst="rect">
          <a:avLst/>
        </a:prstGeom>
      </xdr:spPr>
    </xdr:pic>
    <xdr:clientData/>
  </xdr:twoCellAnchor>
  <xdr:twoCellAnchor>
    <xdr:from>
      <xdr:col>0</xdr:col>
      <xdr:colOff>111125</xdr:colOff>
      <xdr:row>28</xdr:row>
      <xdr:rowOff>71438</xdr:rowOff>
    </xdr:from>
    <xdr:to>
      <xdr:col>0</xdr:col>
      <xdr:colOff>1333500</xdr:colOff>
      <xdr:row>28</xdr:row>
      <xdr:rowOff>665728</xdr:rowOff>
    </xdr:to>
    <xdr:pic>
      <xdr:nvPicPr>
        <xdr:cNvPr id="44" name="Imagem 701">
          <a:extLst>
            <a:ext uri="{FF2B5EF4-FFF2-40B4-BE49-F238E27FC236}">
              <a16:creationId xmlns:a16="http://schemas.microsoft.com/office/drawing/2014/main" id="{BD2F8E64-C320-43CC-91F9-1AE1EB725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125" y="26690638"/>
          <a:ext cx="1222375" cy="594290"/>
        </a:xfrm>
        <a:prstGeom prst="rect">
          <a:avLst/>
        </a:prstGeom>
      </xdr:spPr>
    </xdr:pic>
    <xdr:clientData/>
  </xdr:twoCellAnchor>
  <xdr:twoCellAnchor>
    <xdr:from>
      <xdr:col>0</xdr:col>
      <xdr:colOff>23812</xdr:colOff>
      <xdr:row>27</xdr:row>
      <xdr:rowOff>0</xdr:rowOff>
    </xdr:from>
    <xdr:to>
      <xdr:col>0</xdr:col>
      <xdr:colOff>1349375</xdr:colOff>
      <xdr:row>27</xdr:row>
      <xdr:rowOff>0</xdr:rowOff>
    </xdr:to>
    <xdr:pic>
      <xdr:nvPicPr>
        <xdr:cNvPr id="45" name="Imagem 702">
          <a:extLst>
            <a:ext uri="{FF2B5EF4-FFF2-40B4-BE49-F238E27FC236}">
              <a16:creationId xmlns:a16="http://schemas.microsoft.com/office/drawing/2014/main" id="{76439599-747B-427A-BCC2-8384AF445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812" y="25946100"/>
          <a:ext cx="1325563" cy="0"/>
        </a:xfrm>
        <a:prstGeom prst="rect">
          <a:avLst/>
        </a:prstGeom>
      </xdr:spPr>
    </xdr:pic>
    <xdr:clientData/>
  </xdr:twoCellAnchor>
  <xdr:twoCellAnchor>
    <xdr:from>
      <xdr:col>0</xdr:col>
      <xdr:colOff>15874</xdr:colOff>
      <xdr:row>21</xdr:row>
      <xdr:rowOff>85865</xdr:rowOff>
    </xdr:from>
    <xdr:to>
      <xdr:col>0</xdr:col>
      <xdr:colOff>1349509</xdr:colOff>
      <xdr:row>21</xdr:row>
      <xdr:rowOff>682625</xdr:rowOff>
    </xdr:to>
    <xdr:pic>
      <xdr:nvPicPr>
        <xdr:cNvPr id="46" name="Imagem 703">
          <a:extLst>
            <a:ext uri="{FF2B5EF4-FFF2-40B4-BE49-F238E27FC236}">
              <a16:creationId xmlns:a16="http://schemas.microsoft.com/office/drawing/2014/main" id="{836A3068-C4A9-4725-837B-051C27ED8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4" y="21993365"/>
          <a:ext cx="1333635" cy="58406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63500</xdr:rowOff>
    </xdr:from>
    <xdr:to>
      <xdr:col>0</xdr:col>
      <xdr:colOff>1336663</xdr:colOff>
      <xdr:row>31</xdr:row>
      <xdr:rowOff>650875</xdr:rowOff>
    </xdr:to>
    <xdr:pic>
      <xdr:nvPicPr>
        <xdr:cNvPr id="47" name="Imagem 705">
          <a:extLst>
            <a:ext uri="{FF2B5EF4-FFF2-40B4-BE49-F238E27FC236}">
              <a16:creationId xmlns:a16="http://schemas.microsoft.com/office/drawing/2014/main" id="{A4E33AB3-C805-4269-B7F4-94D8ECF1F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8702000"/>
          <a:ext cx="1336663" cy="587375"/>
        </a:xfrm>
        <a:prstGeom prst="rect">
          <a:avLst/>
        </a:prstGeom>
      </xdr:spPr>
    </xdr:pic>
    <xdr:clientData/>
  </xdr:twoCellAnchor>
  <xdr:twoCellAnchor>
    <xdr:from>
      <xdr:col>0</xdr:col>
      <xdr:colOff>39687</xdr:colOff>
      <xdr:row>30</xdr:row>
      <xdr:rowOff>87312</xdr:rowOff>
    </xdr:from>
    <xdr:to>
      <xdr:col>0</xdr:col>
      <xdr:colOff>1377165</xdr:colOff>
      <xdr:row>30</xdr:row>
      <xdr:rowOff>658812</xdr:rowOff>
    </xdr:to>
    <xdr:pic>
      <xdr:nvPicPr>
        <xdr:cNvPr id="48" name="Imagem 706">
          <a:extLst>
            <a:ext uri="{FF2B5EF4-FFF2-40B4-BE49-F238E27FC236}">
              <a16:creationId xmlns:a16="http://schemas.microsoft.com/office/drawing/2014/main" id="{294CBFB3-EEB9-4BA4-9CE8-E9B6F5C12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28052712"/>
          <a:ext cx="1337478" cy="571500"/>
        </a:xfrm>
        <a:prstGeom prst="rect">
          <a:avLst/>
        </a:prstGeom>
      </xdr:spPr>
    </xdr:pic>
    <xdr:clientData/>
  </xdr:twoCellAnchor>
  <xdr:twoCellAnchor>
    <xdr:from>
      <xdr:col>0</xdr:col>
      <xdr:colOff>71439</xdr:colOff>
      <xdr:row>29</xdr:row>
      <xdr:rowOff>71438</xdr:rowOff>
    </xdr:from>
    <xdr:to>
      <xdr:col>0</xdr:col>
      <xdr:colOff>1341439</xdr:colOff>
      <xdr:row>29</xdr:row>
      <xdr:rowOff>634325</xdr:rowOff>
    </xdr:to>
    <xdr:pic>
      <xdr:nvPicPr>
        <xdr:cNvPr id="49" name="Imagem 707">
          <a:extLst>
            <a:ext uri="{FF2B5EF4-FFF2-40B4-BE49-F238E27FC236}">
              <a16:creationId xmlns:a16="http://schemas.microsoft.com/office/drawing/2014/main" id="{B6E6451A-BDAB-4D3D-8D17-D30A953B7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39" y="27363738"/>
          <a:ext cx="1270000" cy="56288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47625</xdr:rowOff>
    </xdr:from>
    <xdr:to>
      <xdr:col>0</xdr:col>
      <xdr:colOff>1414747</xdr:colOff>
      <xdr:row>34</xdr:row>
      <xdr:rowOff>650875</xdr:rowOff>
    </xdr:to>
    <xdr:pic>
      <xdr:nvPicPr>
        <xdr:cNvPr id="50" name="Imagem 708">
          <a:extLst>
            <a:ext uri="{FF2B5EF4-FFF2-40B4-BE49-F238E27FC236}">
              <a16:creationId xmlns:a16="http://schemas.microsoft.com/office/drawing/2014/main" id="{E472E699-520B-4DB6-954E-A7A1C0CDA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0705425"/>
          <a:ext cx="1408397" cy="603250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33</xdr:row>
      <xdr:rowOff>55563</xdr:rowOff>
    </xdr:from>
    <xdr:to>
      <xdr:col>0</xdr:col>
      <xdr:colOff>1394040</xdr:colOff>
      <xdr:row>33</xdr:row>
      <xdr:rowOff>658813</xdr:rowOff>
    </xdr:to>
    <xdr:pic>
      <xdr:nvPicPr>
        <xdr:cNvPr id="51" name="Imagem 709">
          <a:extLst>
            <a:ext uri="{FF2B5EF4-FFF2-40B4-BE49-F238E27FC236}">
              <a16:creationId xmlns:a16="http://schemas.microsoft.com/office/drawing/2014/main" id="{8FC975AB-CCFF-40FE-BFDA-00003F91D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" y="30040263"/>
          <a:ext cx="1362290" cy="603250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32</xdr:row>
      <xdr:rowOff>87313</xdr:rowOff>
    </xdr:from>
    <xdr:to>
      <xdr:col>0</xdr:col>
      <xdr:colOff>1372606</xdr:colOff>
      <xdr:row>32</xdr:row>
      <xdr:rowOff>682625</xdr:rowOff>
    </xdr:to>
    <xdr:pic>
      <xdr:nvPicPr>
        <xdr:cNvPr id="52" name="Imagem 710">
          <a:extLst>
            <a:ext uri="{FF2B5EF4-FFF2-40B4-BE49-F238E27FC236}">
              <a16:creationId xmlns:a16="http://schemas.microsoft.com/office/drawing/2014/main" id="{5312239B-6E4D-4A5E-AC8E-1D0DFF6CD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" y="29398913"/>
          <a:ext cx="1340856" cy="58261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47625</xdr:rowOff>
    </xdr:from>
    <xdr:to>
      <xdr:col>0</xdr:col>
      <xdr:colOff>1309688</xdr:colOff>
      <xdr:row>36</xdr:row>
      <xdr:rowOff>620478</xdr:rowOff>
    </xdr:to>
    <xdr:pic>
      <xdr:nvPicPr>
        <xdr:cNvPr id="59" name="Imagem 717">
          <a:extLst>
            <a:ext uri="{FF2B5EF4-FFF2-40B4-BE49-F238E27FC236}">
              <a16:creationId xmlns:a16="http://schemas.microsoft.com/office/drawing/2014/main" id="{83583B93-E9B9-40AD-9B46-4A48313F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36090225"/>
          <a:ext cx="1309688" cy="572853"/>
        </a:xfrm>
        <a:prstGeom prst="rect">
          <a:avLst/>
        </a:prstGeom>
      </xdr:spPr>
    </xdr:pic>
    <xdr:clientData/>
  </xdr:twoCellAnchor>
  <xdr:twoCellAnchor>
    <xdr:from>
      <xdr:col>0</xdr:col>
      <xdr:colOff>7938</xdr:colOff>
      <xdr:row>35</xdr:row>
      <xdr:rowOff>87314</xdr:rowOff>
    </xdr:from>
    <xdr:to>
      <xdr:col>0</xdr:col>
      <xdr:colOff>1344248</xdr:colOff>
      <xdr:row>35</xdr:row>
      <xdr:rowOff>682626</xdr:rowOff>
    </xdr:to>
    <xdr:pic>
      <xdr:nvPicPr>
        <xdr:cNvPr id="60" name="Imagem 718">
          <a:extLst>
            <a:ext uri="{FF2B5EF4-FFF2-40B4-BE49-F238E27FC236}">
              <a16:creationId xmlns:a16="http://schemas.microsoft.com/office/drawing/2014/main" id="{3849BC2C-28A6-482A-B175-E407FFC51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38" y="35456814"/>
          <a:ext cx="1336310" cy="582612"/>
        </a:xfrm>
        <a:prstGeom prst="rect">
          <a:avLst/>
        </a:prstGeom>
      </xdr:spPr>
    </xdr:pic>
    <xdr:clientData/>
  </xdr:twoCellAnchor>
  <xdr:twoCellAnchor>
    <xdr:from>
      <xdr:col>0</xdr:col>
      <xdr:colOff>15875</xdr:colOff>
      <xdr:row>37</xdr:row>
      <xdr:rowOff>0</xdr:rowOff>
    </xdr:from>
    <xdr:to>
      <xdr:col>0</xdr:col>
      <xdr:colOff>1357313</xdr:colOff>
      <xdr:row>37</xdr:row>
      <xdr:rowOff>0</xdr:rowOff>
    </xdr:to>
    <xdr:pic>
      <xdr:nvPicPr>
        <xdr:cNvPr id="61" name="Imagem 725">
          <a:extLst>
            <a:ext uri="{FF2B5EF4-FFF2-40B4-BE49-F238E27FC236}">
              <a16:creationId xmlns:a16="http://schemas.microsoft.com/office/drawing/2014/main" id="{96A39F8B-7DCA-4216-89A4-154F2C5F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5" y="36715700"/>
          <a:ext cx="1341438" cy="0"/>
        </a:xfrm>
        <a:prstGeom prst="rect">
          <a:avLst/>
        </a:prstGeom>
      </xdr:spPr>
    </xdr:pic>
    <xdr:clientData/>
  </xdr:twoCellAnchor>
  <xdr:twoCellAnchor>
    <xdr:from>
      <xdr:col>0</xdr:col>
      <xdr:colOff>87312</xdr:colOff>
      <xdr:row>41</xdr:row>
      <xdr:rowOff>47624</xdr:rowOff>
    </xdr:from>
    <xdr:to>
      <xdr:col>0</xdr:col>
      <xdr:colOff>1357312</xdr:colOff>
      <xdr:row>41</xdr:row>
      <xdr:rowOff>674157</xdr:rowOff>
    </xdr:to>
    <xdr:pic>
      <xdr:nvPicPr>
        <xdr:cNvPr id="62" name="Imagem 728">
          <a:extLst>
            <a:ext uri="{FF2B5EF4-FFF2-40B4-BE49-F238E27FC236}">
              <a16:creationId xmlns:a16="http://schemas.microsoft.com/office/drawing/2014/main" id="{5A0DAE18-8824-4088-A257-5EDC0F4A3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312" y="40128824"/>
          <a:ext cx="1270000" cy="6265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44</xdr:row>
      <xdr:rowOff>55563</xdr:rowOff>
    </xdr:from>
    <xdr:to>
      <xdr:col>0</xdr:col>
      <xdr:colOff>1315343</xdr:colOff>
      <xdr:row>44</xdr:row>
      <xdr:rowOff>706438</xdr:rowOff>
    </xdr:to>
    <xdr:pic>
      <xdr:nvPicPr>
        <xdr:cNvPr id="63" name="Imagem 729">
          <a:extLst>
            <a:ext uri="{FF2B5EF4-FFF2-40B4-BE49-F238E27FC236}">
              <a16:creationId xmlns:a16="http://schemas.microsoft.com/office/drawing/2014/main" id="{04B429BB-D52F-494F-98D6-E87B2A727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2156063"/>
          <a:ext cx="1315343" cy="619125"/>
        </a:xfrm>
        <a:prstGeom prst="rect">
          <a:avLst/>
        </a:prstGeom>
      </xdr:spPr>
    </xdr:pic>
    <xdr:clientData/>
  </xdr:twoCellAnchor>
  <xdr:twoCellAnchor>
    <xdr:from>
      <xdr:col>0</xdr:col>
      <xdr:colOff>63499</xdr:colOff>
      <xdr:row>45</xdr:row>
      <xdr:rowOff>47626</xdr:rowOff>
    </xdr:from>
    <xdr:to>
      <xdr:col>0</xdr:col>
      <xdr:colOff>1410642</xdr:colOff>
      <xdr:row>45</xdr:row>
      <xdr:rowOff>690562</xdr:rowOff>
    </xdr:to>
    <xdr:pic>
      <xdr:nvPicPr>
        <xdr:cNvPr id="64" name="Imagem 730">
          <a:extLst>
            <a:ext uri="{FF2B5EF4-FFF2-40B4-BE49-F238E27FC236}">
              <a16:creationId xmlns:a16="http://schemas.microsoft.com/office/drawing/2014/main" id="{B8B6D5D7-934A-4815-90EC-1B82E0730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499" y="42821226"/>
          <a:ext cx="1347143" cy="623886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46</xdr:row>
      <xdr:rowOff>79377</xdr:rowOff>
    </xdr:from>
    <xdr:to>
      <xdr:col>0</xdr:col>
      <xdr:colOff>1381392</xdr:colOff>
      <xdr:row>46</xdr:row>
      <xdr:rowOff>706437</xdr:rowOff>
    </xdr:to>
    <xdr:pic>
      <xdr:nvPicPr>
        <xdr:cNvPr id="65" name="Imagem 731">
          <a:extLst>
            <a:ext uri="{FF2B5EF4-FFF2-40B4-BE49-F238E27FC236}">
              <a16:creationId xmlns:a16="http://schemas.microsoft.com/office/drawing/2014/main" id="{F6D93FA5-2705-4CE8-A11D-F8CA0E0F5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" y="43526077"/>
          <a:ext cx="1349642" cy="5953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43</xdr:row>
      <xdr:rowOff>47624</xdr:rowOff>
    </xdr:from>
    <xdr:to>
      <xdr:col>0</xdr:col>
      <xdr:colOff>1309687</xdr:colOff>
      <xdr:row>43</xdr:row>
      <xdr:rowOff>675439</xdr:rowOff>
    </xdr:to>
    <xdr:pic>
      <xdr:nvPicPr>
        <xdr:cNvPr id="66" name="Imagem 732">
          <a:extLst>
            <a:ext uri="{FF2B5EF4-FFF2-40B4-BE49-F238E27FC236}">
              <a16:creationId xmlns:a16="http://schemas.microsoft.com/office/drawing/2014/main" id="{7778CFC8-008D-439E-B9C7-E20436D99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1475024"/>
          <a:ext cx="1309687" cy="627815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42</xdr:row>
      <xdr:rowOff>71437</xdr:rowOff>
    </xdr:from>
    <xdr:to>
      <xdr:col>0</xdr:col>
      <xdr:colOff>1299041</xdr:colOff>
      <xdr:row>42</xdr:row>
      <xdr:rowOff>658813</xdr:rowOff>
    </xdr:to>
    <xdr:pic>
      <xdr:nvPicPr>
        <xdr:cNvPr id="67" name="Imagem 733">
          <a:extLst>
            <a:ext uri="{FF2B5EF4-FFF2-40B4-BE49-F238E27FC236}">
              <a16:creationId xmlns:a16="http://schemas.microsoft.com/office/drawing/2014/main" id="{BEF0CC0E-43F2-44F6-913B-F3EE6DEE7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500" y="40825737"/>
          <a:ext cx="1235541" cy="587376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51</xdr:row>
      <xdr:rowOff>103187</xdr:rowOff>
    </xdr:from>
    <xdr:to>
      <xdr:col>0</xdr:col>
      <xdr:colOff>1246189</xdr:colOff>
      <xdr:row>51</xdr:row>
      <xdr:rowOff>699696</xdr:rowOff>
    </xdr:to>
    <xdr:pic>
      <xdr:nvPicPr>
        <xdr:cNvPr id="68" name="Imagem 735">
          <a:extLst>
            <a:ext uri="{FF2B5EF4-FFF2-40B4-BE49-F238E27FC236}">
              <a16:creationId xmlns:a16="http://schemas.microsoft.com/office/drawing/2014/main" id="{8329A58E-357F-4BEB-9C43-CB77A2CB6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46915387"/>
          <a:ext cx="1246188" cy="57110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47</xdr:row>
      <xdr:rowOff>95251</xdr:rowOff>
    </xdr:from>
    <xdr:to>
      <xdr:col>0</xdr:col>
      <xdr:colOff>1222375</xdr:colOff>
      <xdr:row>47</xdr:row>
      <xdr:rowOff>686747</xdr:rowOff>
    </xdr:to>
    <xdr:pic>
      <xdr:nvPicPr>
        <xdr:cNvPr id="69" name="Imagem 736">
          <a:extLst>
            <a:ext uri="{FF2B5EF4-FFF2-40B4-BE49-F238E27FC236}">
              <a16:creationId xmlns:a16="http://schemas.microsoft.com/office/drawing/2014/main" id="{B8102069-2BD8-4590-AEFB-921480116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4215051"/>
          <a:ext cx="1222375" cy="57879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63501</xdr:rowOff>
    </xdr:from>
    <xdr:to>
      <xdr:col>0</xdr:col>
      <xdr:colOff>1379591</xdr:colOff>
      <xdr:row>50</xdr:row>
      <xdr:rowOff>722313</xdr:rowOff>
    </xdr:to>
    <xdr:pic>
      <xdr:nvPicPr>
        <xdr:cNvPr id="70" name="Imagem 737">
          <a:extLst>
            <a:ext uri="{FF2B5EF4-FFF2-40B4-BE49-F238E27FC236}">
              <a16:creationId xmlns:a16="http://schemas.microsoft.com/office/drawing/2014/main" id="{9BFE28C1-A527-4D1E-88FB-329D7B67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46202601"/>
          <a:ext cx="1379591" cy="608012"/>
        </a:xfrm>
        <a:prstGeom prst="rect">
          <a:avLst/>
        </a:prstGeom>
      </xdr:spPr>
    </xdr:pic>
    <xdr:clientData/>
  </xdr:twoCellAnchor>
  <xdr:twoCellAnchor>
    <xdr:from>
      <xdr:col>0</xdr:col>
      <xdr:colOff>71439</xdr:colOff>
      <xdr:row>49</xdr:row>
      <xdr:rowOff>60485</xdr:rowOff>
    </xdr:from>
    <xdr:to>
      <xdr:col>0</xdr:col>
      <xdr:colOff>1349377</xdr:colOff>
      <xdr:row>49</xdr:row>
      <xdr:rowOff>689575</xdr:rowOff>
    </xdr:to>
    <xdr:pic>
      <xdr:nvPicPr>
        <xdr:cNvPr id="71" name="Imagem 738">
          <a:extLst>
            <a:ext uri="{FF2B5EF4-FFF2-40B4-BE49-F238E27FC236}">
              <a16:creationId xmlns:a16="http://schemas.microsoft.com/office/drawing/2014/main" id="{E324A107-158C-4D39-81A0-205214B00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439" y="45526485"/>
          <a:ext cx="1277938" cy="610040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49</xdr:row>
      <xdr:rowOff>0</xdr:rowOff>
    </xdr:from>
    <xdr:to>
      <xdr:col>0</xdr:col>
      <xdr:colOff>1373189</xdr:colOff>
      <xdr:row>49</xdr:row>
      <xdr:rowOff>0</xdr:rowOff>
    </xdr:to>
    <xdr:pic>
      <xdr:nvPicPr>
        <xdr:cNvPr id="72" name="Imagem 739">
          <a:extLst>
            <a:ext uri="{FF2B5EF4-FFF2-40B4-BE49-F238E27FC236}">
              <a16:creationId xmlns:a16="http://schemas.microsoft.com/office/drawing/2014/main" id="{CC7AEB62-AD8C-40DC-B19D-B08FA150C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45466000"/>
          <a:ext cx="1373188" cy="0"/>
        </a:xfrm>
        <a:prstGeom prst="rect">
          <a:avLst/>
        </a:prstGeom>
      </xdr:spPr>
    </xdr:pic>
    <xdr:clientData/>
  </xdr:twoCellAnchor>
  <xdr:twoCellAnchor>
    <xdr:from>
      <xdr:col>0</xdr:col>
      <xdr:colOff>39688</xdr:colOff>
      <xdr:row>48</xdr:row>
      <xdr:rowOff>103188</xdr:rowOff>
    </xdr:from>
    <xdr:to>
      <xdr:col>0</xdr:col>
      <xdr:colOff>1309688</xdr:colOff>
      <xdr:row>48</xdr:row>
      <xdr:rowOff>706946</xdr:rowOff>
    </xdr:to>
    <xdr:pic>
      <xdr:nvPicPr>
        <xdr:cNvPr id="73" name="Imagem 740">
          <a:extLst>
            <a:ext uri="{FF2B5EF4-FFF2-40B4-BE49-F238E27FC236}">
              <a16:creationId xmlns:a16="http://schemas.microsoft.com/office/drawing/2014/main" id="{520D8E26-D1A0-436D-BA7E-E2C5C0116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8" y="44896088"/>
          <a:ext cx="1270000" cy="572008"/>
        </a:xfrm>
        <a:prstGeom prst="rect">
          <a:avLst/>
        </a:prstGeom>
      </xdr:spPr>
    </xdr:pic>
    <xdr:clientData/>
  </xdr:twoCellAnchor>
  <xdr:twoCellAnchor>
    <xdr:from>
      <xdr:col>0</xdr:col>
      <xdr:colOff>119064</xdr:colOff>
      <xdr:row>53</xdr:row>
      <xdr:rowOff>150813</xdr:rowOff>
    </xdr:from>
    <xdr:to>
      <xdr:col>0</xdr:col>
      <xdr:colOff>1317626</xdr:colOff>
      <xdr:row>53</xdr:row>
      <xdr:rowOff>702352</xdr:rowOff>
    </xdr:to>
    <xdr:pic>
      <xdr:nvPicPr>
        <xdr:cNvPr id="74" name="Imagem 744">
          <a:extLst>
            <a:ext uri="{FF2B5EF4-FFF2-40B4-BE49-F238E27FC236}">
              <a16:creationId xmlns:a16="http://schemas.microsoft.com/office/drawing/2014/main" id="{FBE455CA-0CBA-4C09-80FA-C3EDCE37C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9064" y="49655413"/>
          <a:ext cx="1198562" cy="519789"/>
        </a:xfrm>
        <a:prstGeom prst="rect">
          <a:avLst/>
        </a:prstGeom>
      </xdr:spPr>
    </xdr:pic>
    <xdr:clientData/>
  </xdr:twoCellAnchor>
  <xdr:twoCellAnchor>
    <xdr:from>
      <xdr:col>0</xdr:col>
      <xdr:colOff>15875</xdr:colOff>
      <xdr:row>52</xdr:row>
      <xdr:rowOff>87313</xdr:rowOff>
    </xdr:from>
    <xdr:to>
      <xdr:col>0</xdr:col>
      <xdr:colOff>1363612</xdr:colOff>
      <xdr:row>52</xdr:row>
      <xdr:rowOff>682624</xdr:rowOff>
    </xdr:to>
    <xdr:pic>
      <xdr:nvPicPr>
        <xdr:cNvPr id="75" name="Imagem 745">
          <a:extLst>
            <a:ext uri="{FF2B5EF4-FFF2-40B4-BE49-F238E27FC236}">
              <a16:creationId xmlns:a16="http://schemas.microsoft.com/office/drawing/2014/main" id="{A395C614-4036-4080-9719-7F669E415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5" y="48918813"/>
          <a:ext cx="1347737" cy="588961"/>
        </a:xfrm>
        <a:prstGeom prst="rect">
          <a:avLst/>
        </a:prstGeom>
      </xdr:spPr>
    </xdr:pic>
    <xdr:clientData/>
  </xdr:twoCellAnchor>
  <xdr:twoCellAnchor>
    <xdr:from>
      <xdr:col>0</xdr:col>
      <xdr:colOff>55563</xdr:colOff>
      <xdr:row>54</xdr:row>
      <xdr:rowOff>0</xdr:rowOff>
    </xdr:from>
    <xdr:to>
      <xdr:col>0</xdr:col>
      <xdr:colOff>1329790</xdr:colOff>
      <xdr:row>54</xdr:row>
      <xdr:rowOff>0</xdr:rowOff>
    </xdr:to>
    <xdr:pic>
      <xdr:nvPicPr>
        <xdr:cNvPr id="76" name="Imagem 746">
          <a:extLst>
            <a:ext uri="{FF2B5EF4-FFF2-40B4-BE49-F238E27FC236}">
              <a16:creationId xmlns:a16="http://schemas.microsoft.com/office/drawing/2014/main" id="{598CBCA5-3654-450A-967F-5D11869B0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63" y="50177700"/>
          <a:ext cx="1274227" cy="0"/>
        </a:xfrm>
        <a:prstGeom prst="rect">
          <a:avLst/>
        </a:prstGeom>
      </xdr:spPr>
    </xdr:pic>
    <xdr:clientData/>
  </xdr:twoCellAnchor>
  <xdr:twoCellAnchor>
    <xdr:from>
      <xdr:col>0</xdr:col>
      <xdr:colOff>63501</xdr:colOff>
      <xdr:row>55</xdr:row>
      <xdr:rowOff>103189</xdr:rowOff>
    </xdr:from>
    <xdr:to>
      <xdr:col>0</xdr:col>
      <xdr:colOff>1333500</xdr:colOff>
      <xdr:row>55</xdr:row>
      <xdr:rowOff>672165</xdr:rowOff>
    </xdr:to>
    <xdr:pic>
      <xdr:nvPicPr>
        <xdr:cNvPr id="77" name="Imagem 747">
          <a:extLst>
            <a:ext uri="{FF2B5EF4-FFF2-40B4-BE49-F238E27FC236}">
              <a16:creationId xmlns:a16="http://schemas.microsoft.com/office/drawing/2014/main" id="{C4F964CF-7B22-48DB-95A6-6B24C41E6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501" y="50953989"/>
          <a:ext cx="1269999" cy="56897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</xdr:row>
      <xdr:rowOff>71439</xdr:rowOff>
    </xdr:from>
    <xdr:to>
      <xdr:col>0</xdr:col>
      <xdr:colOff>1333500</xdr:colOff>
      <xdr:row>54</xdr:row>
      <xdr:rowOff>681975</xdr:rowOff>
    </xdr:to>
    <xdr:pic>
      <xdr:nvPicPr>
        <xdr:cNvPr id="78" name="Imagem 748">
          <a:extLst>
            <a:ext uri="{FF2B5EF4-FFF2-40B4-BE49-F238E27FC236}">
              <a16:creationId xmlns:a16="http://schemas.microsoft.com/office/drawing/2014/main" id="{6DCE7376-ED73-4014-BF14-F8EA24044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50249139"/>
          <a:ext cx="1333500" cy="60418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1301750</xdr:colOff>
      <xdr:row>57</xdr:row>
      <xdr:rowOff>0</xdr:rowOff>
    </xdr:to>
    <xdr:pic>
      <xdr:nvPicPr>
        <xdr:cNvPr id="80" name="Imagem 751">
          <a:extLst>
            <a:ext uri="{FF2B5EF4-FFF2-40B4-BE49-F238E27FC236}">
              <a16:creationId xmlns:a16="http://schemas.microsoft.com/office/drawing/2014/main" id="{F15436F3-A5D8-4269-AA94-058981EEC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52197000"/>
          <a:ext cx="1301750" cy="0"/>
        </a:xfrm>
        <a:prstGeom prst="rect">
          <a:avLst/>
        </a:prstGeom>
      </xdr:spPr>
    </xdr:pic>
    <xdr:clientData/>
  </xdr:twoCellAnchor>
  <xdr:twoCellAnchor>
    <xdr:from>
      <xdr:col>0</xdr:col>
      <xdr:colOff>15875</xdr:colOff>
      <xdr:row>58</xdr:row>
      <xdr:rowOff>96760</xdr:rowOff>
    </xdr:from>
    <xdr:to>
      <xdr:col>0</xdr:col>
      <xdr:colOff>1333500</xdr:colOff>
      <xdr:row>58</xdr:row>
      <xdr:rowOff>698285</xdr:rowOff>
    </xdr:to>
    <xdr:pic>
      <xdr:nvPicPr>
        <xdr:cNvPr id="81" name="Imagem 752">
          <a:extLst>
            <a:ext uri="{FF2B5EF4-FFF2-40B4-BE49-F238E27FC236}">
              <a16:creationId xmlns:a16="http://schemas.microsoft.com/office/drawing/2014/main" id="{97B03432-F81B-4C4B-9701-DDF31B9C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875" y="52966860"/>
          <a:ext cx="1317625" cy="57612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57</xdr:row>
      <xdr:rowOff>122386</xdr:rowOff>
    </xdr:from>
    <xdr:to>
      <xdr:col>0</xdr:col>
      <xdr:colOff>1333500</xdr:colOff>
      <xdr:row>57</xdr:row>
      <xdr:rowOff>706617</xdr:rowOff>
    </xdr:to>
    <xdr:pic>
      <xdr:nvPicPr>
        <xdr:cNvPr id="82" name="Imagem 753">
          <a:extLst>
            <a:ext uri="{FF2B5EF4-FFF2-40B4-BE49-F238E27FC236}">
              <a16:creationId xmlns:a16="http://schemas.microsoft.com/office/drawing/2014/main" id="{13DF45FB-16EB-465A-A828-D27072CF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7625" y="52319386"/>
          <a:ext cx="1285875" cy="552481"/>
        </a:xfrm>
        <a:prstGeom prst="rect">
          <a:avLst/>
        </a:prstGeom>
      </xdr:spPr>
    </xdr:pic>
    <xdr:clientData/>
  </xdr:twoCellAnchor>
  <xdr:twoCellAnchor>
    <xdr:from>
      <xdr:col>0</xdr:col>
      <xdr:colOff>31751</xdr:colOff>
      <xdr:row>56</xdr:row>
      <xdr:rowOff>85755</xdr:rowOff>
    </xdr:from>
    <xdr:to>
      <xdr:col>0</xdr:col>
      <xdr:colOff>1333501</xdr:colOff>
      <xdr:row>56</xdr:row>
      <xdr:rowOff>687123</xdr:rowOff>
    </xdr:to>
    <xdr:pic>
      <xdr:nvPicPr>
        <xdr:cNvPr id="83" name="Imagem 754">
          <a:extLst>
            <a:ext uri="{FF2B5EF4-FFF2-40B4-BE49-F238E27FC236}">
              <a16:creationId xmlns:a16="http://schemas.microsoft.com/office/drawing/2014/main" id="{1633870A-5397-466B-BF54-B07A370F1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1" y="51609655"/>
          <a:ext cx="1301750" cy="588668"/>
        </a:xfrm>
        <a:prstGeom prst="rect">
          <a:avLst/>
        </a:prstGeom>
      </xdr:spPr>
    </xdr:pic>
    <xdr:clientData/>
  </xdr:twoCellAnchor>
  <xdr:twoCellAnchor>
    <xdr:from>
      <xdr:col>0</xdr:col>
      <xdr:colOff>7939</xdr:colOff>
      <xdr:row>39</xdr:row>
      <xdr:rowOff>111126</xdr:rowOff>
    </xdr:from>
    <xdr:to>
      <xdr:col>0</xdr:col>
      <xdr:colOff>1296959</xdr:colOff>
      <xdr:row>39</xdr:row>
      <xdr:rowOff>674688</xdr:rowOff>
    </xdr:to>
    <xdr:pic>
      <xdr:nvPicPr>
        <xdr:cNvPr id="86" name="Imagem 24">
          <a:extLst>
            <a:ext uri="{FF2B5EF4-FFF2-40B4-BE49-F238E27FC236}">
              <a16:creationId xmlns:a16="http://schemas.microsoft.com/office/drawing/2014/main" id="{ED9EAF26-1018-49B9-9A68-7A596E59E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39" y="38173026"/>
          <a:ext cx="1289020" cy="563562"/>
        </a:xfrm>
        <a:prstGeom prst="rect">
          <a:avLst/>
        </a:prstGeom>
      </xdr:spPr>
    </xdr:pic>
    <xdr:clientData/>
  </xdr:twoCellAnchor>
  <xdr:twoCellAnchor>
    <xdr:from>
      <xdr:col>0</xdr:col>
      <xdr:colOff>63501</xdr:colOff>
      <xdr:row>40</xdr:row>
      <xdr:rowOff>55564</xdr:rowOff>
    </xdr:from>
    <xdr:to>
      <xdr:col>0</xdr:col>
      <xdr:colOff>1375045</xdr:colOff>
      <xdr:row>40</xdr:row>
      <xdr:rowOff>627062</xdr:rowOff>
    </xdr:to>
    <xdr:pic>
      <xdr:nvPicPr>
        <xdr:cNvPr id="87" name="Imagem 25">
          <a:extLst>
            <a:ext uri="{FF2B5EF4-FFF2-40B4-BE49-F238E27FC236}">
              <a16:creationId xmlns:a16="http://schemas.microsoft.com/office/drawing/2014/main" id="{4F2650D7-AA3E-4EBA-83C6-A5FA87B34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3501" y="38790564"/>
          <a:ext cx="1311544" cy="571498"/>
        </a:xfrm>
        <a:prstGeom prst="rect">
          <a:avLst/>
        </a:prstGeom>
      </xdr:spPr>
    </xdr:pic>
    <xdr:clientData/>
  </xdr:twoCellAnchor>
  <xdr:twoCellAnchor>
    <xdr:from>
      <xdr:col>0</xdr:col>
      <xdr:colOff>55562</xdr:colOff>
      <xdr:row>38</xdr:row>
      <xdr:rowOff>95250</xdr:rowOff>
    </xdr:from>
    <xdr:to>
      <xdr:col>0</xdr:col>
      <xdr:colOff>1251515</xdr:colOff>
      <xdr:row>38</xdr:row>
      <xdr:rowOff>674687</xdr:rowOff>
    </xdr:to>
    <xdr:pic>
      <xdr:nvPicPr>
        <xdr:cNvPr id="88" name="Imagem 26">
          <a:extLst>
            <a:ext uri="{FF2B5EF4-FFF2-40B4-BE49-F238E27FC236}">
              <a16:creationId xmlns:a16="http://schemas.microsoft.com/office/drawing/2014/main" id="{8D122622-BD27-4DAE-9534-EF947A15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62" y="37484050"/>
          <a:ext cx="1195953" cy="579437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37</xdr:row>
      <xdr:rowOff>87312</xdr:rowOff>
    </xdr:from>
    <xdr:to>
      <xdr:col>0</xdr:col>
      <xdr:colOff>1319572</xdr:colOff>
      <xdr:row>37</xdr:row>
      <xdr:rowOff>706437</xdr:rowOff>
    </xdr:to>
    <xdr:pic>
      <xdr:nvPicPr>
        <xdr:cNvPr id="89" name="Imagem 27">
          <a:extLst>
            <a:ext uri="{FF2B5EF4-FFF2-40B4-BE49-F238E27FC236}">
              <a16:creationId xmlns:a16="http://schemas.microsoft.com/office/drawing/2014/main" id="{45F22F66-822B-40E6-A2B8-8A81B14AB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750" y="36803012"/>
          <a:ext cx="1287822" cy="587375"/>
        </a:xfrm>
        <a:prstGeom prst="rect">
          <a:avLst/>
        </a:prstGeom>
      </xdr:spPr>
    </xdr:pic>
    <xdr:clientData/>
  </xdr:twoCellAnchor>
  <xdr:twoCellAnchor>
    <xdr:from>
      <xdr:col>0</xdr:col>
      <xdr:colOff>111125</xdr:colOff>
      <xdr:row>59</xdr:row>
      <xdr:rowOff>62909</xdr:rowOff>
    </xdr:from>
    <xdr:to>
      <xdr:col>0</xdr:col>
      <xdr:colOff>1349375</xdr:colOff>
      <xdr:row>59</xdr:row>
      <xdr:rowOff>697869</xdr:rowOff>
    </xdr:to>
    <xdr:pic>
      <xdr:nvPicPr>
        <xdr:cNvPr id="106" name="Imagem 794">
          <a:extLst>
            <a:ext uri="{FF2B5EF4-FFF2-40B4-BE49-F238E27FC236}">
              <a16:creationId xmlns:a16="http://schemas.microsoft.com/office/drawing/2014/main" id="{2F8E4C7F-3470-4C69-842F-89CC87991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1125" y="64375709"/>
          <a:ext cx="1238250" cy="609560"/>
        </a:xfrm>
        <a:prstGeom prst="rect">
          <a:avLst/>
        </a:prstGeom>
      </xdr:spPr>
    </xdr:pic>
    <xdr:clientData/>
  </xdr:twoCellAnchor>
  <xdr:twoCellAnchor>
    <xdr:from>
      <xdr:col>0</xdr:col>
      <xdr:colOff>87313</xdr:colOff>
      <xdr:row>60</xdr:row>
      <xdr:rowOff>0</xdr:rowOff>
    </xdr:from>
    <xdr:to>
      <xdr:col>0</xdr:col>
      <xdr:colOff>1301751</xdr:colOff>
      <xdr:row>60</xdr:row>
      <xdr:rowOff>0</xdr:rowOff>
    </xdr:to>
    <xdr:pic>
      <xdr:nvPicPr>
        <xdr:cNvPr id="107" name="Imagem 796">
          <a:extLst>
            <a:ext uri="{FF2B5EF4-FFF2-40B4-BE49-F238E27FC236}">
              <a16:creationId xmlns:a16="http://schemas.microsoft.com/office/drawing/2014/main" id="{1D50623B-0A92-487E-B753-83E29FB37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7313" y="64985900"/>
          <a:ext cx="1214438" cy="0"/>
        </a:xfrm>
        <a:prstGeom prst="rect">
          <a:avLst/>
        </a:prstGeom>
      </xdr:spPr>
    </xdr:pic>
    <xdr:clientData/>
  </xdr:twoCellAnchor>
  <xdr:twoCellAnchor>
    <xdr:from>
      <xdr:col>0</xdr:col>
      <xdr:colOff>55563</xdr:colOff>
      <xdr:row>60</xdr:row>
      <xdr:rowOff>47625</xdr:rowOff>
    </xdr:from>
    <xdr:to>
      <xdr:col>0</xdr:col>
      <xdr:colOff>1373188</xdr:colOff>
      <xdr:row>60</xdr:row>
      <xdr:rowOff>624702</xdr:rowOff>
    </xdr:to>
    <xdr:pic>
      <xdr:nvPicPr>
        <xdr:cNvPr id="108" name="Imagem 797">
          <a:extLst>
            <a:ext uri="{FF2B5EF4-FFF2-40B4-BE49-F238E27FC236}">
              <a16:creationId xmlns:a16="http://schemas.microsoft.com/office/drawing/2014/main" id="{CAA17FA5-DDE7-4C12-B8E0-9B2D85CB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63" y="65033525"/>
          <a:ext cx="1317625" cy="577077"/>
        </a:xfrm>
        <a:prstGeom prst="rect">
          <a:avLst/>
        </a:prstGeom>
      </xdr:spPr>
    </xdr:pic>
    <xdr:clientData/>
  </xdr:twoCellAnchor>
  <xdr:twoCellAnchor>
    <xdr:from>
      <xdr:col>0</xdr:col>
      <xdr:colOff>7937</xdr:colOff>
      <xdr:row>61</xdr:row>
      <xdr:rowOff>111125</xdr:rowOff>
    </xdr:from>
    <xdr:to>
      <xdr:col>0</xdr:col>
      <xdr:colOff>1309687</xdr:colOff>
      <xdr:row>61</xdr:row>
      <xdr:rowOff>671794</xdr:rowOff>
    </xdr:to>
    <xdr:pic>
      <xdr:nvPicPr>
        <xdr:cNvPr id="109" name="Imagem 798">
          <a:extLst>
            <a:ext uri="{FF2B5EF4-FFF2-40B4-BE49-F238E27FC236}">
              <a16:creationId xmlns:a16="http://schemas.microsoft.com/office/drawing/2014/main" id="{773334E7-4003-4E3B-91FF-6AEAFD849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937" y="65770125"/>
          <a:ext cx="1301750" cy="560669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62</xdr:row>
      <xdr:rowOff>47625</xdr:rowOff>
    </xdr:from>
    <xdr:to>
      <xdr:col>0</xdr:col>
      <xdr:colOff>1330507</xdr:colOff>
      <xdr:row>62</xdr:row>
      <xdr:rowOff>627062</xdr:rowOff>
    </xdr:to>
    <xdr:pic>
      <xdr:nvPicPr>
        <xdr:cNvPr id="110" name="Imagem 799">
          <a:extLst>
            <a:ext uri="{FF2B5EF4-FFF2-40B4-BE49-F238E27FC236}">
              <a16:creationId xmlns:a16="http://schemas.microsoft.com/office/drawing/2014/main" id="{97B3AAB9-D62D-4F03-9134-DC47151A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66379725"/>
          <a:ext cx="1330506" cy="57943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</xdr:row>
      <xdr:rowOff>87313</xdr:rowOff>
    </xdr:from>
    <xdr:to>
      <xdr:col>0</xdr:col>
      <xdr:colOff>1312905</xdr:colOff>
      <xdr:row>63</xdr:row>
      <xdr:rowOff>658813</xdr:rowOff>
    </xdr:to>
    <xdr:pic>
      <xdr:nvPicPr>
        <xdr:cNvPr id="111" name="Imagem 800">
          <a:extLst>
            <a:ext uri="{FF2B5EF4-FFF2-40B4-BE49-F238E27FC236}">
              <a16:creationId xmlns:a16="http://schemas.microsoft.com/office/drawing/2014/main" id="{4BCE67FF-CE74-46CF-9259-832F4B23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67092513"/>
          <a:ext cx="1312905" cy="571500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64</xdr:row>
      <xdr:rowOff>55563</xdr:rowOff>
    </xdr:from>
    <xdr:to>
      <xdr:col>0</xdr:col>
      <xdr:colOff>1333501</xdr:colOff>
      <xdr:row>64</xdr:row>
      <xdr:rowOff>632918</xdr:rowOff>
    </xdr:to>
    <xdr:pic>
      <xdr:nvPicPr>
        <xdr:cNvPr id="112" name="Imagem 801">
          <a:extLst>
            <a:ext uri="{FF2B5EF4-FFF2-40B4-BE49-F238E27FC236}">
              <a16:creationId xmlns:a16="http://schemas.microsoft.com/office/drawing/2014/main" id="{F8247522-E24A-4829-AE55-725F3C4D7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" y="67733863"/>
          <a:ext cx="1333500" cy="57735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65</xdr:row>
      <xdr:rowOff>71438</xdr:rowOff>
    </xdr:from>
    <xdr:to>
      <xdr:col>0</xdr:col>
      <xdr:colOff>1400615</xdr:colOff>
      <xdr:row>65</xdr:row>
      <xdr:rowOff>674688</xdr:rowOff>
    </xdr:to>
    <xdr:pic>
      <xdr:nvPicPr>
        <xdr:cNvPr id="113" name="Imagem 802">
          <a:extLst>
            <a:ext uri="{FF2B5EF4-FFF2-40B4-BE49-F238E27FC236}">
              <a16:creationId xmlns:a16="http://schemas.microsoft.com/office/drawing/2014/main" id="{5AA89F3C-AC99-4799-9D43-B97AD0F2A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68422838"/>
          <a:ext cx="1400615" cy="603250"/>
        </a:xfrm>
        <a:prstGeom prst="rect">
          <a:avLst/>
        </a:prstGeom>
      </xdr:spPr>
    </xdr:pic>
    <xdr:clientData/>
  </xdr:twoCellAnchor>
  <xdr:twoCellAnchor>
    <xdr:from>
      <xdr:col>0</xdr:col>
      <xdr:colOff>55562</xdr:colOff>
      <xdr:row>66</xdr:row>
      <xdr:rowOff>79375</xdr:rowOff>
    </xdr:from>
    <xdr:to>
      <xdr:col>0</xdr:col>
      <xdr:colOff>1324384</xdr:colOff>
      <xdr:row>66</xdr:row>
      <xdr:rowOff>650875</xdr:rowOff>
    </xdr:to>
    <xdr:pic>
      <xdr:nvPicPr>
        <xdr:cNvPr id="122" name="Imagem 811">
          <a:extLst>
            <a:ext uri="{FF2B5EF4-FFF2-40B4-BE49-F238E27FC236}">
              <a16:creationId xmlns:a16="http://schemas.microsoft.com/office/drawing/2014/main" id="{0DF1C5F0-6C4A-4EF3-AF0E-9C8D01442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62" y="74488675"/>
          <a:ext cx="1268822" cy="571500"/>
        </a:xfrm>
        <a:prstGeom prst="rect">
          <a:avLst/>
        </a:prstGeom>
      </xdr:spPr>
    </xdr:pic>
    <xdr:clientData/>
  </xdr:twoCellAnchor>
  <xdr:twoCellAnchor>
    <xdr:from>
      <xdr:col>0</xdr:col>
      <xdr:colOff>39688</xdr:colOff>
      <xdr:row>67</xdr:row>
      <xdr:rowOff>79375</xdr:rowOff>
    </xdr:from>
    <xdr:to>
      <xdr:col>0</xdr:col>
      <xdr:colOff>1301751</xdr:colOff>
      <xdr:row>67</xdr:row>
      <xdr:rowOff>649212</xdr:rowOff>
    </xdr:to>
    <xdr:pic>
      <xdr:nvPicPr>
        <xdr:cNvPr id="123" name="Imagem 812">
          <a:extLst>
            <a:ext uri="{FF2B5EF4-FFF2-40B4-BE49-F238E27FC236}">
              <a16:creationId xmlns:a16="http://schemas.microsoft.com/office/drawing/2014/main" id="{30C93986-7DC7-488D-8808-C9C2F5DA2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8" y="75161775"/>
          <a:ext cx="1262063" cy="569837"/>
        </a:xfrm>
        <a:prstGeom prst="rect">
          <a:avLst/>
        </a:prstGeom>
      </xdr:spPr>
    </xdr:pic>
    <xdr:clientData/>
  </xdr:twoCellAnchor>
  <xdr:twoCellAnchor>
    <xdr:from>
      <xdr:col>0</xdr:col>
      <xdr:colOff>55563</xdr:colOff>
      <xdr:row>68</xdr:row>
      <xdr:rowOff>63500</xdr:rowOff>
    </xdr:from>
    <xdr:to>
      <xdr:col>0</xdr:col>
      <xdr:colOff>1333501</xdr:colOff>
      <xdr:row>68</xdr:row>
      <xdr:rowOff>638505</xdr:rowOff>
    </xdr:to>
    <xdr:pic>
      <xdr:nvPicPr>
        <xdr:cNvPr id="124" name="Imagem 813">
          <a:extLst>
            <a:ext uri="{FF2B5EF4-FFF2-40B4-BE49-F238E27FC236}">
              <a16:creationId xmlns:a16="http://schemas.microsoft.com/office/drawing/2014/main" id="{78C28F74-F162-4931-9E6F-F2801346B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563" y="75819000"/>
          <a:ext cx="1277938" cy="5750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71438</xdr:rowOff>
    </xdr:from>
    <xdr:to>
      <xdr:col>0</xdr:col>
      <xdr:colOff>1301750</xdr:colOff>
      <xdr:row>69</xdr:row>
      <xdr:rowOff>655800</xdr:rowOff>
    </xdr:to>
    <xdr:pic>
      <xdr:nvPicPr>
        <xdr:cNvPr id="125" name="Imagem 814">
          <a:extLst>
            <a:ext uri="{FF2B5EF4-FFF2-40B4-BE49-F238E27FC236}">
              <a16:creationId xmlns:a16="http://schemas.microsoft.com/office/drawing/2014/main" id="{E4826FA4-FBBD-4C16-A65E-638D2983D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76500038"/>
          <a:ext cx="1301750" cy="584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C154-1271-468F-B95B-63E8A5E0AC98}">
  <dimension ref="A1:V224"/>
  <sheetViews>
    <sheetView showGridLines="0" tabSelected="1" zoomScale="80" zoomScaleNormal="80" workbookViewId="0">
      <pane xSplit="6" ySplit="4" topLeftCell="G35" activePane="bottomRight" state="frozen"/>
      <selection pane="topRight" activeCell="G1" sqref="G1"/>
      <selection pane="bottomLeft" activeCell="A5" sqref="A5"/>
      <selection pane="bottomRight" activeCell="H48" sqref="H48"/>
    </sheetView>
  </sheetViews>
  <sheetFormatPr baseColWidth="10" defaultColWidth="8.7265625" defaultRowHeight="14.5"/>
  <cols>
    <col min="1" max="1" width="20.1796875" customWidth="1"/>
    <col min="2" max="2" width="14.54296875" customWidth="1"/>
    <col min="3" max="3" width="24.1796875" customWidth="1"/>
    <col min="4" max="4" width="10.08984375" customWidth="1"/>
    <col min="5" max="5" width="33.54296875" customWidth="1"/>
    <col min="6" max="6" width="9.7265625" customWidth="1"/>
    <col min="7" max="7" width="16.36328125" bestFit="1" customWidth="1"/>
    <col min="8" max="8" width="24.1796875" customWidth="1"/>
    <col min="9" max="9" width="12.08984375" customWidth="1"/>
  </cols>
  <sheetData>
    <row r="1" spans="1:22" s="2" customFormat="1" ht="20">
      <c r="A1" s="1" t="s">
        <v>0</v>
      </c>
      <c r="J1"/>
      <c r="K1"/>
      <c r="L1"/>
      <c r="M1"/>
      <c r="N1"/>
      <c r="O1"/>
      <c r="P1"/>
      <c r="Q1"/>
      <c r="R1"/>
      <c r="S1"/>
      <c r="T1"/>
      <c r="U1"/>
      <c r="V1"/>
    </row>
    <row r="2" spans="1:22" s="2" customFormat="1" ht="17.5">
      <c r="C2" s="3"/>
      <c r="D2" s="3"/>
      <c r="E2" s="3"/>
      <c r="J2"/>
      <c r="K2"/>
      <c r="L2"/>
      <c r="M2"/>
      <c r="N2"/>
      <c r="O2"/>
      <c r="P2"/>
      <c r="Q2"/>
      <c r="R2"/>
      <c r="S2"/>
      <c r="T2"/>
      <c r="U2"/>
      <c r="V2"/>
    </row>
    <row r="3" spans="1:22" s="2" customFormat="1" ht="15" thickBot="1">
      <c r="J3" s="4" t="s">
        <v>1</v>
      </c>
      <c r="K3" s="4"/>
      <c r="L3" s="4"/>
      <c r="M3" s="4"/>
      <c r="N3" s="4"/>
      <c r="O3" s="4"/>
      <c r="P3" s="5" t="s">
        <v>2</v>
      </c>
      <c r="Q3" s="5"/>
      <c r="R3" s="5"/>
      <c r="S3" s="5"/>
      <c r="T3" s="5"/>
      <c r="U3" s="5"/>
      <c r="V3" s="6">
        <f>+SUBTOTAL(9,V4:V70)</f>
        <v>1800</v>
      </c>
    </row>
    <row r="4" spans="1:22" ht="29.5" thickBo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8" t="s">
        <v>8</v>
      </c>
      <c r="G4" s="7" t="s">
        <v>9</v>
      </c>
      <c r="H4" s="7" t="s">
        <v>10</v>
      </c>
      <c r="I4" s="9" t="s">
        <v>11</v>
      </c>
      <c r="J4" s="10" t="s">
        <v>12</v>
      </c>
      <c r="K4" s="10" t="s">
        <v>13</v>
      </c>
      <c r="L4" s="11" t="s">
        <v>14</v>
      </c>
      <c r="M4" s="12" t="s">
        <v>15</v>
      </c>
      <c r="N4" s="12" t="s">
        <v>16</v>
      </c>
      <c r="O4" s="13" t="s">
        <v>17</v>
      </c>
      <c r="P4" s="14" t="s">
        <v>18</v>
      </c>
      <c r="Q4" s="15" t="s">
        <v>19</v>
      </c>
      <c r="R4" s="16" t="s">
        <v>20</v>
      </c>
      <c r="S4" s="17" t="s">
        <v>21</v>
      </c>
      <c r="T4" s="17" t="s">
        <v>22</v>
      </c>
      <c r="U4" s="18" t="s">
        <v>23</v>
      </c>
      <c r="V4" s="19" t="s">
        <v>24</v>
      </c>
    </row>
    <row r="5" spans="1:22" ht="53.25" customHeight="1">
      <c r="A5" s="20"/>
      <c r="B5" s="21" t="s">
        <v>25</v>
      </c>
      <c r="C5" s="22" t="s">
        <v>26</v>
      </c>
      <c r="D5" s="23" t="s">
        <v>27</v>
      </c>
      <c r="E5" s="21" t="s">
        <v>28</v>
      </c>
      <c r="F5" s="24" t="s">
        <v>29</v>
      </c>
      <c r="G5" s="21" t="s">
        <v>30</v>
      </c>
      <c r="H5" s="21" t="s">
        <v>31</v>
      </c>
      <c r="I5" s="24">
        <v>225</v>
      </c>
      <c r="J5" s="25"/>
      <c r="K5" s="26"/>
      <c r="L5" s="26"/>
      <c r="M5" s="20"/>
      <c r="N5" s="20">
        <v>12</v>
      </c>
      <c r="O5" s="20"/>
      <c r="P5" s="27"/>
      <c r="Q5" s="25"/>
      <c r="R5" s="26"/>
      <c r="S5" s="20"/>
      <c r="T5" s="28"/>
      <c r="U5" s="29"/>
      <c r="V5" s="30">
        <f t="shared" ref="V5:V47" si="0">SUM(J5:U5)</f>
        <v>12</v>
      </c>
    </row>
    <row r="6" spans="1:22" ht="53.15" customHeight="1">
      <c r="A6" s="20"/>
      <c r="B6" s="21" t="s">
        <v>32</v>
      </c>
      <c r="C6" s="22" t="s">
        <v>33</v>
      </c>
      <c r="D6" s="23" t="s">
        <v>27</v>
      </c>
      <c r="E6" s="21" t="s">
        <v>34</v>
      </c>
      <c r="F6" s="31" t="s">
        <v>35</v>
      </c>
      <c r="G6" s="21" t="s">
        <v>30</v>
      </c>
      <c r="H6" s="21" t="s">
        <v>31</v>
      </c>
      <c r="I6" s="24">
        <v>210</v>
      </c>
      <c r="J6" s="25"/>
      <c r="K6" s="26"/>
      <c r="L6" s="26"/>
      <c r="M6" s="20"/>
      <c r="N6" s="20"/>
      <c r="O6" s="20"/>
      <c r="P6" s="27"/>
      <c r="Q6" s="25"/>
      <c r="R6" s="26"/>
      <c r="S6" s="20"/>
      <c r="T6" s="28"/>
      <c r="U6" s="29"/>
      <c r="V6" s="30">
        <f t="shared" si="0"/>
        <v>0</v>
      </c>
    </row>
    <row r="7" spans="1:22" ht="53.15" customHeight="1">
      <c r="A7" s="20"/>
      <c r="B7" s="21" t="s">
        <v>36</v>
      </c>
      <c r="C7" s="22" t="s">
        <v>37</v>
      </c>
      <c r="D7" s="23" t="s">
        <v>27</v>
      </c>
      <c r="E7" s="21" t="s">
        <v>38</v>
      </c>
      <c r="F7" s="24" t="s">
        <v>29</v>
      </c>
      <c r="G7" s="21" t="s">
        <v>30</v>
      </c>
      <c r="H7" s="21" t="s">
        <v>31</v>
      </c>
      <c r="I7" s="24">
        <v>200</v>
      </c>
      <c r="J7" s="25"/>
      <c r="K7" s="26"/>
      <c r="L7" s="26"/>
      <c r="M7" s="20"/>
      <c r="N7" s="20">
        <v>24</v>
      </c>
      <c r="O7" s="20"/>
      <c r="P7" s="27"/>
      <c r="Q7" s="25"/>
      <c r="R7" s="26"/>
      <c r="S7" s="20"/>
      <c r="T7" s="28"/>
      <c r="U7" s="29"/>
      <c r="V7" s="30">
        <f t="shared" si="0"/>
        <v>24</v>
      </c>
    </row>
    <row r="8" spans="1:22" ht="53.15" customHeight="1">
      <c r="A8" s="20"/>
      <c r="B8" s="21" t="s">
        <v>39</v>
      </c>
      <c r="C8" s="22" t="s">
        <v>37</v>
      </c>
      <c r="D8" s="23" t="s">
        <v>27</v>
      </c>
      <c r="E8" s="21" t="s">
        <v>40</v>
      </c>
      <c r="F8" s="24" t="s">
        <v>29</v>
      </c>
      <c r="G8" s="21" t="s">
        <v>30</v>
      </c>
      <c r="H8" s="21" t="s">
        <v>31</v>
      </c>
      <c r="I8" s="24">
        <v>200</v>
      </c>
      <c r="J8" s="25"/>
      <c r="K8" s="26"/>
      <c r="L8" s="26"/>
      <c r="M8" s="20"/>
      <c r="N8" s="20">
        <v>24</v>
      </c>
      <c r="O8" s="20"/>
      <c r="P8" s="27"/>
      <c r="Q8" s="25"/>
      <c r="R8" s="26"/>
      <c r="S8" s="20">
        <v>12</v>
      </c>
      <c r="T8" s="28"/>
      <c r="U8" s="29"/>
      <c r="V8" s="30">
        <f t="shared" si="0"/>
        <v>36</v>
      </c>
    </row>
    <row r="9" spans="1:22" ht="53.15" customHeight="1">
      <c r="A9" s="20"/>
      <c r="B9" s="21" t="s">
        <v>43</v>
      </c>
      <c r="C9" s="22" t="s">
        <v>44</v>
      </c>
      <c r="D9" s="21" t="s">
        <v>41</v>
      </c>
      <c r="E9" s="21" t="s">
        <v>45</v>
      </c>
      <c r="F9" s="31" t="s">
        <v>35</v>
      </c>
      <c r="G9" s="21" t="s">
        <v>30</v>
      </c>
      <c r="H9" s="21" t="s">
        <v>31</v>
      </c>
      <c r="I9" s="24">
        <v>180</v>
      </c>
      <c r="J9" s="32"/>
      <c r="K9" s="20">
        <v>24</v>
      </c>
      <c r="L9" s="20"/>
      <c r="M9" s="26"/>
      <c r="N9" s="26"/>
      <c r="O9" s="26"/>
      <c r="P9" s="27"/>
      <c r="Q9" s="25"/>
      <c r="R9" s="26"/>
      <c r="S9" s="26"/>
      <c r="T9" s="33"/>
      <c r="U9" s="34"/>
      <c r="V9" s="30">
        <f t="shared" si="0"/>
        <v>24</v>
      </c>
    </row>
    <row r="10" spans="1:22" ht="53.15" customHeight="1">
      <c r="A10" s="20"/>
      <c r="B10" s="21" t="s">
        <v>46</v>
      </c>
      <c r="C10" s="22" t="s">
        <v>44</v>
      </c>
      <c r="D10" s="21" t="s">
        <v>42</v>
      </c>
      <c r="E10" s="21" t="s">
        <v>47</v>
      </c>
      <c r="F10" s="31" t="s">
        <v>35</v>
      </c>
      <c r="G10" s="21" t="s">
        <v>30</v>
      </c>
      <c r="H10" s="21" t="s">
        <v>31</v>
      </c>
      <c r="I10" s="24">
        <v>180</v>
      </c>
      <c r="J10" s="25"/>
      <c r="K10" s="26"/>
      <c r="L10" s="26"/>
      <c r="M10" s="26"/>
      <c r="N10" s="26"/>
      <c r="O10" s="26"/>
      <c r="P10" s="35">
        <v>24</v>
      </c>
      <c r="Q10" s="32"/>
      <c r="R10" s="20"/>
      <c r="S10" s="26"/>
      <c r="T10" s="33"/>
      <c r="U10" s="34"/>
      <c r="V10" s="30">
        <f t="shared" si="0"/>
        <v>24</v>
      </c>
    </row>
    <row r="11" spans="1:22" ht="53.15" customHeight="1">
      <c r="A11" s="20"/>
      <c r="B11" s="21" t="s">
        <v>48</v>
      </c>
      <c r="C11" s="22" t="s">
        <v>49</v>
      </c>
      <c r="D11" s="21" t="s">
        <v>41</v>
      </c>
      <c r="E11" s="21" t="s">
        <v>50</v>
      </c>
      <c r="F11" s="24" t="s">
        <v>29</v>
      </c>
      <c r="G11" s="21" t="s">
        <v>30</v>
      </c>
      <c r="H11" s="21" t="s">
        <v>31</v>
      </c>
      <c r="I11" s="24">
        <v>150</v>
      </c>
      <c r="J11" s="32"/>
      <c r="K11" s="20">
        <v>24</v>
      </c>
      <c r="L11" s="20"/>
      <c r="M11" s="26"/>
      <c r="N11" s="26"/>
      <c r="O11" s="26"/>
      <c r="P11" s="27"/>
      <c r="Q11" s="25"/>
      <c r="R11" s="26"/>
      <c r="S11" s="26"/>
      <c r="T11" s="33"/>
      <c r="U11" s="34"/>
      <c r="V11" s="30">
        <f t="shared" si="0"/>
        <v>24</v>
      </c>
    </row>
    <row r="12" spans="1:22" ht="53.15" customHeight="1">
      <c r="A12" s="20"/>
      <c r="B12" s="21" t="s">
        <v>51</v>
      </c>
      <c r="C12" s="22" t="s">
        <v>49</v>
      </c>
      <c r="D12" s="21" t="s">
        <v>42</v>
      </c>
      <c r="E12" s="21" t="s">
        <v>52</v>
      </c>
      <c r="F12" s="24" t="s">
        <v>29</v>
      </c>
      <c r="G12" s="21" t="s">
        <v>30</v>
      </c>
      <c r="H12" s="21" t="s">
        <v>31</v>
      </c>
      <c r="I12" s="24">
        <v>150</v>
      </c>
      <c r="J12" s="25"/>
      <c r="K12" s="26"/>
      <c r="L12" s="26"/>
      <c r="M12" s="26"/>
      <c r="N12" s="26"/>
      <c r="O12" s="26"/>
      <c r="P12" s="35">
        <v>24</v>
      </c>
      <c r="Q12" s="32"/>
      <c r="R12" s="20"/>
      <c r="S12" s="26"/>
      <c r="T12" s="33"/>
      <c r="U12" s="34"/>
      <c r="V12" s="30">
        <f t="shared" si="0"/>
        <v>24</v>
      </c>
    </row>
    <row r="13" spans="1:22" ht="53.15" customHeight="1">
      <c r="A13" s="20"/>
      <c r="B13" s="21" t="s">
        <v>53</v>
      </c>
      <c r="C13" s="22" t="s">
        <v>49</v>
      </c>
      <c r="D13" s="21" t="s">
        <v>41</v>
      </c>
      <c r="E13" s="21" t="s">
        <v>54</v>
      </c>
      <c r="F13" s="31" t="s">
        <v>35</v>
      </c>
      <c r="G13" s="21" t="s">
        <v>30</v>
      </c>
      <c r="H13" s="21" t="s">
        <v>31</v>
      </c>
      <c r="I13" s="24">
        <v>150</v>
      </c>
      <c r="J13" s="32">
        <v>12</v>
      </c>
      <c r="K13" s="20">
        <v>24</v>
      </c>
      <c r="L13" s="20"/>
      <c r="M13" s="26"/>
      <c r="N13" s="26"/>
      <c r="O13" s="26"/>
      <c r="P13" s="27"/>
      <c r="Q13" s="25"/>
      <c r="R13" s="26"/>
      <c r="S13" s="26"/>
      <c r="T13" s="33"/>
      <c r="U13" s="34"/>
      <c r="V13" s="30">
        <f t="shared" si="0"/>
        <v>36</v>
      </c>
    </row>
    <row r="14" spans="1:22" ht="53.15" customHeight="1">
      <c r="A14" s="20"/>
      <c r="B14" s="21" t="s">
        <v>55</v>
      </c>
      <c r="C14" s="22" t="s">
        <v>49</v>
      </c>
      <c r="D14" s="21" t="s">
        <v>41</v>
      </c>
      <c r="E14" s="21" t="s">
        <v>56</v>
      </c>
      <c r="F14" s="24" t="s">
        <v>29</v>
      </c>
      <c r="G14" s="21" t="s">
        <v>30</v>
      </c>
      <c r="H14" s="21" t="s">
        <v>31</v>
      </c>
      <c r="I14" s="24">
        <v>150</v>
      </c>
      <c r="J14" s="32">
        <v>12</v>
      </c>
      <c r="K14" s="20">
        <v>24</v>
      </c>
      <c r="L14" s="20"/>
      <c r="M14" s="26"/>
      <c r="N14" s="26"/>
      <c r="O14" s="26"/>
      <c r="P14" s="27"/>
      <c r="Q14" s="25"/>
      <c r="R14" s="26"/>
      <c r="S14" s="26"/>
      <c r="T14" s="33"/>
      <c r="U14" s="34"/>
      <c r="V14" s="30">
        <f t="shared" si="0"/>
        <v>36</v>
      </c>
    </row>
    <row r="15" spans="1:22" ht="53.15" customHeight="1">
      <c r="A15" s="20"/>
      <c r="B15" s="21" t="s">
        <v>57</v>
      </c>
      <c r="C15" s="22" t="s">
        <v>49</v>
      </c>
      <c r="D15" s="21" t="s">
        <v>41</v>
      </c>
      <c r="E15" s="21" t="s">
        <v>58</v>
      </c>
      <c r="F15" s="24" t="s">
        <v>29</v>
      </c>
      <c r="G15" s="21" t="s">
        <v>30</v>
      </c>
      <c r="H15" s="21" t="s">
        <v>31</v>
      </c>
      <c r="I15" s="24">
        <v>150</v>
      </c>
      <c r="J15" s="32"/>
      <c r="K15" s="20">
        <v>36</v>
      </c>
      <c r="L15" s="20"/>
      <c r="M15" s="26"/>
      <c r="N15" s="26"/>
      <c r="O15" s="26"/>
      <c r="P15" s="27"/>
      <c r="Q15" s="25"/>
      <c r="R15" s="26"/>
      <c r="S15" s="26"/>
      <c r="T15" s="33"/>
      <c r="U15" s="34"/>
      <c r="V15" s="30">
        <f t="shared" si="0"/>
        <v>36</v>
      </c>
    </row>
    <row r="16" spans="1:22" ht="53.15" customHeight="1">
      <c r="A16" s="20"/>
      <c r="B16" s="21" t="s">
        <v>59</v>
      </c>
      <c r="C16" s="22" t="s">
        <v>49</v>
      </c>
      <c r="D16" s="21" t="s">
        <v>41</v>
      </c>
      <c r="E16" s="21" t="s">
        <v>40</v>
      </c>
      <c r="F16" s="24" t="s">
        <v>29</v>
      </c>
      <c r="G16" s="21" t="s">
        <v>30</v>
      </c>
      <c r="H16" s="21" t="s">
        <v>31</v>
      </c>
      <c r="I16" s="24">
        <v>150</v>
      </c>
      <c r="J16" s="32">
        <v>24</v>
      </c>
      <c r="K16" s="20">
        <v>36</v>
      </c>
      <c r="L16" s="20"/>
      <c r="M16" s="26"/>
      <c r="N16" s="26"/>
      <c r="O16" s="26"/>
      <c r="P16" s="27"/>
      <c r="Q16" s="25"/>
      <c r="R16" s="26"/>
      <c r="S16" s="26"/>
      <c r="T16" s="33"/>
      <c r="U16" s="34"/>
      <c r="V16" s="30">
        <f t="shared" si="0"/>
        <v>60</v>
      </c>
    </row>
    <row r="17" spans="1:22" ht="53.15" customHeight="1">
      <c r="A17" s="20"/>
      <c r="B17" s="21" t="s">
        <v>60</v>
      </c>
      <c r="C17" s="22" t="s">
        <v>49</v>
      </c>
      <c r="D17" s="21" t="s">
        <v>42</v>
      </c>
      <c r="E17" s="21" t="s">
        <v>54</v>
      </c>
      <c r="F17" s="31" t="s">
        <v>35</v>
      </c>
      <c r="G17" s="21" t="s">
        <v>30</v>
      </c>
      <c r="H17" s="21" t="s">
        <v>31</v>
      </c>
      <c r="I17" s="24">
        <v>150</v>
      </c>
      <c r="J17" s="25"/>
      <c r="K17" s="26"/>
      <c r="L17" s="26"/>
      <c r="M17" s="26"/>
      <c r="N17" s="26"/>
      <c r="O17" s="26"/>
      <c r="P17" s="35">
        <v>24</v>
      </c>
      <c r="Q17" s="32">
        <v>36</v>
      </c>
      <c r="R17" s="20"/>
      <c r="S17" s="26"/>
      <c r="T17" s="33"/>
      <c r="U17" s="34"/>
      <c r="V17" s="30">
        <f t="shared" si="0"/>
        <v>60</v>
      </c>
    </row>
    <row r="18" spans="1:22" ht="53.15" customHeight="1">
      <c r="A18" s="20"/>
      <c r="B18" s="21" t="s">
        <v>61</v>
      </c>
      <c r="C18" s="22" t="s">
        <v>49</v>
      </c>
      <c r="D18" s="21" t="s">
        <v>42</v>
      </c>
      <c r="E18" s="21" t="s">
        <v>62</v>
      </c>
      <c r="F18" s="24" t="s">
        <v>29</v>
      </c>
      <c r="G18" s="21" t="s">
        <v>30</v>
      </c>
      <c r="H18" s="21" t="s">
        <v>31</v>
      </c>
      <c r="I18" s="24">
        <v>150</v>
      </c>
      <c r="J18" s="25"/>
      <c r="K18" s="26"/>
      <c r="L18" s="26"/>
      <c r="M18" s="26"/>
      <c r="N18" s="26"/>
      <c r="O18" s="26"/>
      <c r="P18" s="35">
        <v>24</v>
      </c>
      <c r="Q18" s="32">
        <v>12</v>
      </c>
      <c r="R18" s="20"/>
      <c r="S18" s="26"/>
      <c r="T18" s="33"/>
      <c r="U18" s="34"/>
      <c r="V18" s="30">
        <f t="shared" si="0"/>
        <v>36</v>
      </c>
    </row>
    <row r="19" spans="1:22" ht="53.15" customHeight="1">
      <c r="A19" s="20"/>
      <c r="B19" s="21" t="s">
        <v>63</v>
      </c>
      <c r="C19" s="22" t="s">
        <v>49</v>
      </c>
      <c r="D19" s="21" t="s">
        <v>42</v>
      </c>
      <c r="E19" s="21" t="s">
        <v>64</v>
      </c>
      <c r="F19" s="24" t="s">
        <v>29</v>
      </c>
      <c r="G19" s="21" t="s">
        <v>30</v>
      </c>
      <c r="H19" s="21" t="s">
        <v>31</v>
      </c>
      <c r="I19" s="24">
        <v>150</v>
      </c>
      <c r="J19" s="25"/>
      <c r="K19" s="26"/>
      <c r="L19" s="26"/>
      <c r="M19" s="26"/>
      <c r="N19" s="26"/>
      <c r="O19" s="26"/>
      <c r="P19" s="35">
        <v>12</v>
      </c>
      <c r="Q19" s="32">
        <v>36</v>
      </c>
      <c r="R19" s="20"/>
      <c r="S19" s="26"/>
      <c r="T19" s="33"/>
      <c r="U19" s="34"/>
      <c r="V19" s="30">
        <f t="shared" si="0"/>
        <v>48</v>
      </c>
    </row>
    <row r="20" spans="1:22" ht="53.15" customHeight="1">
      <c r="A20" s="20"/>
      <c r="B20" s="21" t="s">
        <v>65</v>
      </c>
      <c r="C20" s="22" t="s">
        <v>49</v>
      </c>
      <c r="D20" s="21" t="s">
        <v>42</v>
      </c>
      <c r="E20" s="21" t="s">
        <v>66</v>
      </c>
      <c r="F20" s="24" t="s">
        <v>29</v>
      </c>
      <c r="G20" s="21" t="s">
        <v>30</v>
      </c>
      <c r="H20" s="21" t="s">
        <v>31</v>
      </c>
      <c r="I20" s="24">
        <v>150</v>
      </c>
      <c r="J20" s="25"/>
      <c r="K20" s="26"/>
      <c r="L20" s="26"/>
      <c r="M20" s="26"/>
      <c r="N20" s="26"/>
      <c r="O20" s="26"/>
      <c r="P20" s="35">
        <v>24</v>
      </c>
      <c r="Q20" s="32"/>
      <c r="R20" s="20"/>
      <c r="S20" s="26"/>
      <c r="T20" s="33"/>
      <c r="U20" s="34"/>
      <c r="V20" s="30">
        <f t="shared" si="0"/>
        <v>24</v>
      </c>
    </row>
    <row r="21" spans="1:22" ht="53.15" customHeight="1">
      <c r="A21" s="20"/>
      <c r="B21" s="21" t="s">
        <v>68</v>
      </c>
      <c r="C21" s="22" t="s">
        <v>69</v>
      </c>
      <c r="D21" s="21" t="s">
        <v>41</v>
      </c>
      <c r="E21" s="21" t="s">
        <v>70</v>
      </c>
      <c r="F21" s="31" t="s">
        <v>35</v>
      </c>
      <c r="G21" s="21" t="s">
        <v>30</v>
      </c>
      <c r="H21" s="21" t="s">
        <v>31</v>
      </c>
      <c r="I21" s="24">
        <v>180</v>
      </c>
      <c r="J21" s="32"/>
      <c r="K21" s="20">
        <v>24</v>
      </c>
      <c r="L21" s="20"/>
      <c r="M21" s="26"/>
      <c r="N21" s="26"/>
      <c r="O21" s="26"/>
      <c r="P21" s="27"/>
      <c r="Q21" s="25"/>
      <c r="R21" s="26"/>
      <c r="S21" s="26"/>
      <c r="T21" s="33"/>
      <c r="U21" s="34"/>
      <c r="V21" s="30">
        <f t="shared" si="0"/>
        <v>24</v>
      </c>
    </row>
    <row r="22" spans="1:22" ht="53.15" customHeight="1">
      <c r="A22" s="20"/>
      <c r="B22" s="21" t="s">
        <v>71</v>
      </c>
      <c r="C22" s="22" t="s">
        <v>69</v>
      </c>
      <c r="D22" s="21" t="s">
        <v>42</v>
      </c>
      <c r="E22" s="21" t="s">
        <v>72</v>
      </c>
      <c r="F22" s="31" t="s">
        <v>35</v>
      </c>
      <c r="G22" s="21" t="s">
        <v>30</v>
      </c>
      <c r="H22" s="21" t="s">
        <v>31</v>
      </c>
      <c r="I22" s="24">
        <v>180</v>
      </c>
      <c r="J22" s="25"/>
      <c r="K22" s="26"/>
      <c r="L22" s="26"/>
      <c r="M22" s="26"/>
      <c r="N22" s="26"/>
      <c r="O22" s="26"/>
      <c r="P22" s="35"/>
      <c r="Q22" s="32">
        <v>24</v>
      </c>
      <c r="R22" s="20"/>
      <c r="S22" s="26"/>
      <c r="T22" s="33"/>
      <c r="U22" s="34"/>
      <c r="V22" s="30">
        <f t="shared" si="0"/>
        <v>24</v>
      </c>
    </row>
    <row r="23" spans="1:22" ht="53.15" customHeight="1">
      <c r="A23" s="20"/>
      <c r="B23" s="21" t="s">
        <v>73</v>
      </c>
      <c r="C23" s="22" t="s">
        <v>74</v>
      </c>
      <c r="D23" s="21" t="s">
        <v>41</v>
      </c>
      <c r="E23" s="21" t="s">
        <v>75</v>
      </c>
      <c r="F23" s="31" t="s">
        <v>35</v>
      </c>
      <c r="G23" s="21" t="s">
        <v>30</v>
      </c>
      <c r="H23" s="21" t="s">
        <v>31</v>
      </c>
      <c r="I23" s="24">
        <v>170</v>
      </c>
      <c r="J23" s="32"/>
      <c r="K23" s="20">
        <v>36</v>
      </c>
      <c r="L23" s="20"/>
      <c r="M23" s="26"/>
      <c r="N23" s="26"/>
      <c r="O23" s="26"/>
      <c r="P23" s="27"/>
      <c r="Q23" s="25"/>
      <c r="R23" s="26"/>
      <c r="S23" s="26"/>
      <c r="T23" s="33"/>
      <c r="U23" s="34"/>
      <c r="V23" s="30">
        <f t="shared" si="0"/>
        <v>36</v>
      </c>
    </row>
    <row r="24" spans="1:22" ht="53.15" customHeight="1">
      <c r="A24" s="20"/>
      <c r="B24" s="21" t="s">
        <v>76</v>
      </c>
      <c r="C24" s="22" t="s">
        <v>74</v>
      </c>
      <c r="D24" s="21" t="s">
        <v>41</v>
      </c>
      <c r="E24" s="21" t="s">
        <v>56</v>
      </c>
      <c r="F24" s="24" t="s">
        <v>29</v>
      </c>
      <c r="G24" s="21" t="s">
        <v>30</v>
      </c>
      <c r="H24" s="21" t="s">
        <v>31</v>
      </c>
      <c r="I24" s="24">
        <v>170</v>
      </c>
      <c r="J24" s="32"/>
      <c r="K24" s="20">
        <v>24</v>
      </c>
      <c r="L24" s="20"/>
      <c r="M24" s="26"/>
      <c r="N24" s="26"/>
      <c r="O24" s="26"/>
      <c r="P24" s="27"/>
      <c r="Q24" s="25"/>
      <c r="R24" s="26"/>
      <c r="S24" s="26"/>
      <c r="T24" s="33"/>
      <c r="U24" s="34"/>
      <c r="V24" s="30">
        <f t="shared" si="0"/>
        <v>24</v>
      </c>
    </row>
    <row r="25" spans="1:22" ht="53.15" customHeight="1">
      <c r="A25" s="20"/>
      <c r="B25" s="21" t="s">
        <v>77</v>
      </c>
      <c r="C25" s="22" t="s">
        <v>74</v>
      </c>
      <c r="D25" s="21" t="s">
        <v>41</v>
      </c>
      <c r="E25" s="21" t="s">
        <v>78</v>
      </c>
      <c r="F25" s="24" t="s">
        <v>29</v>
      </c>
      <c r="G25" s="21" t="s">
        <v>30</v>
      </c>
      <c r="H25" s="21" t="s">
        <v>31</v>
      </c>
      <c r="I25" s="24">
        <v>170</v>
      </c>
      <c r="J25" s="32"/>
      <c r="K25" s="20">
        <v>36</v>
      </c>
      <c r="L25" s="20"/>
      <c r="M25" s="26"/>
      <c r="N25" s="26"/>
      <c r="O25" s="26"/>
      <c r="P25" s="27"/>
      <c r="Q25" s="25"/>
      <c r="R25" s="26"/>
      <c r="S25" s="26"/>
      <c r="T25" s="33"/>
      <c r="U25" s="34"/>
      <c r="V25" s="30">
        <f t="shared" si="0"/>
        <v>36</v>
      </c>
    </row>
    <row r="26" spans="1:22" ht="53.15" customHeight="1">
      <c r="A26" s="20"/>
      <c r="B26" s="21" t="s">
        <v>79</v>
      </c>
      <c r="C26" s="22" t="s">
        <v>74</v>
      </c>
      <c r="D26" s="21" t="s">
        <v>41</v>
      </c>
      <c r="E26" s="21" t="s">
        <v>80</v>
      </c>
      <c r="F26" s="24" t="s">
        <v>29</v>
      </c>
      <c r="G26" s="21" t="s">
        <v>30</v>
      </c>
      <c r="H26" s="21" t="s">
        <v>31</v>
      </c>
      <c r="I26" s="24">
        <v>170</v>
      </c>
      <c r="J26" s="32"/>
      <c r="K26" s="20">
        <v>24</v>
      </c>
      <c r="L26" s="20"/>
      <c r="M26" s="26"/>
      <c r="N26" s="26"/>
      <c r="O26" s="26"/>
      <c r="P26" s="27"/>
      <c r="Q26" s="25"/>
      <c r="R26" s="26"/>
      <c r="S26" s="26"/>
      <c r="T26" s="33"/>
      <c r="U26" s="34"/>
      <c r="V26" s="30">
        <f t="shared" si="0"/>
        <v>24</v>
      </c>
    </row>
    <row r="27" spans="1:22" ht="53.15" customHeight="1">
      <c r="A27" s="20"/>
      <c r="B27" s="21" t="s">
        <v>81</v>
      </c>
      <c r="C27" s="22" t="s">
        <v>74</v>
      </c>
      <c r="D27" s="21" t="s">
        <v>42</v>
      </c>
      <c r="E27" s="21" t="s">
        <v>82</v>
      </c>
      <c r="F27" s="31" t="s">
        <v>35</v>
      </c>
      <c r="G27" s="21" t="s">
        <v>30</v>
      </c>
      <c r="H27" s="21" t="s">
        <v>31</v>
      </c>
      <c r="I27" s="24">
        <v>170</v>
      </c>
      <c r="J27" s="25"/>
      <c r="K27" s="26"/>
      <c r="L27" s="26"/>
      <c r="M27" s="26"/>
      <c r="N27" s="26"/>
      <c r="O27" s="26"/>
      <c r="P27" s="35">
        <v>12</v>
      </c>
      <c r="Q27" s="32">
        <v>24</v>
      </c>
      <c r="R27" s="20"/>
      <c r="S27" s="26"/>
      <c r="T27" s="33"/>
      <c r="U27" s="34"/>
      <c r="V27" s="30">
        <f t="shared" si="0"/>
        <v>36</v>
      </c>
    </row>
    <row r="28" spans="1:22" ht="53.15" customHeight="1">
      <c r="A28" s="20"/>
      <c r="B28" s="21" t="s">
        <v>83</v>
      </c>
      <c r="C28" s="22" t="s">
        <v>74</v>
      </c>
      <c r="D28" s="21" t="s">
        <v>42</v>
      </c>
      <c r="E28" s="21" t="s">
        <v>84</v>
      </c>
      <c r="F28" s="24" t="s">
        <v>29</v>
      </c>
      <c r="G28" s="21" t="s">
        <v>30</v>
      </c>
      <c r="H28" s="21" t="s">
        <v>31</v>
      </c>
      <c r="I28" s="24">
        <v>170</v>
      </c>
      <c r="J28" s="25"/>
      <c r="K28" s="26"/>
      <c r="L28" s="26"/>
      <c r="M28" s="26"/>
      <c r="N28" s="26"/>
      <c r="O28" s="26"/>
      <c r="P28" s="35">
        <v>12</v>
      </c>
      <c r="Q28" s="32">
        <v>24</v>
      </c>
      <c r="R28" s="20"/>
      <c r="S28" s="26"/>
      <c r="T28" s="33"/>
      <c r="U28" s="34"/>
      <c r="V28" s="30">
        <f t="shared" si="0"/>
        <v>36</v>
      </c>
    </row>
    <row r="29" spans="1:22" ht="53.15" customHeight="1">
      <c r="A29" s="20"/>
      <c r="B29" s="21" t="s">
        <v>85</v>
      </c>
      <c r="C29" s="22" t="s">
        <v>74</v>
      </c>
      <c r="D29" s="21" t="s">
        <v>42</v>
      </c>
      <c r="E29" s="21" t="s">
        <v>86</v>
      </c>
      <c r="F29" s="24" t="s">
        <v>29</v>
      </c>
      <c r="G29" s="21" t="s">
        <v>30</v>
      </c>
      <c r="H29" s="21" t="s">
        <v>31</v>
      </c>
      <c r="I29" s="24">
        <v>170</v>
      </c>
      <c r="J29" s="25"/>
      <c r="K29" s="26"/>
      <c r="L29" s="26"/>
      <c r="M29" s="26"/>
      <c r="N29" s="26"/>
      <c r="O29" s="26"/>
      <c r="P29" s="35">
        <v>24</v>
      </c>
      <c r="Q29" s="32"/>
      <c r="R29" s="20"/>
      <c r="S29" s="26"/>
      <c r="T29" s="33"/>
      <c r="U29" s="34"/>
      <c r="V29" s="30">
        <f t="shared" si="0"/>
        <v>24</v>
      </c>
    </row>
    <row r="30" spans="1:22" ht="53.15" customHeight="1">
      <c r="A30" s="20"/>
      <c r="B30" s="21" t="s">
        <v>87</v>
      </c>
      <c r="C30" s="22" t="s">
        <v>88</v>
      </c>
      <c r="D30" s="21" t="s">
        <v>41</v>
      </c>
      <c r="E30" s="21" t="s">
        <v>89</v>
      </c>
      <c r="F30" s="31" t="s">
        <v>35</v>
      </c>
      <c r="G30" s="21" t="s">
        <v>30</v>
      </c>
      <c r="H30" s="21" t="s">
        <v>31</v>
      </c>
      <c r="I30" s="24">
        <v>140</v>
      </c>
      <c r="J30" s="32"/>
      <c r="K30" s="20">
        <v>12</v>
      </c>
      <c r="L30" s="20"/>
      <c r="M30" s="26"/>
      <c r="N30" s="26"/>
      <c r="O30" s="26"/>
      <c r="P30" s="27"/>
      <c r="Q30" s="25"/>
      <c r="R30" s="26"/>
      <c r="S30" s="26"/>
      <c r="T30" s="33"/>
      <c r="U30" s="34"/>
      <c r="V30" s="30">
        <f t="shared" si="0"/>
        <v>12</v>
      </c>
    </row>
    <row r="31" spans="1:22" ht="53.15" customHeight="1">
      <c r="A31" s="20"/>
      <c r="B31" s="21" t="s">
        <v>90</v>
      </c>
      <c r="C31" s="22" t="s">
        <v>88</v>
      </c>
      <c r="D31" s="21" t="s">
        <v>41</v>
      </c>
      <c r="E31" s="21" t="s">
        <v>67</v>
      </c>
      <c r="F31" s="24" t="s">
        <v>29</v>
      </c>
      <c r="G31" s="21" t="s">
        <v>30</v>
      </c>
      <c r="H31" s="21" t="s">
        <v>31</v>
      </c>
      <c r="I31" s="24">
        <v>140</v>
      </c>
      <c r="J31" s="32"/>
      <c r="K31" s="20">
        <v>36</v>
      </c>
      <c r="L31" s="20"/>
      <c r="M31" s="26"/>
      <c r="N31" s="26"/>
      <c r="O31" s="26"/>
      <c r="P31" s="27"/>
      <c r="Q31" s="25"/>
      <c r="R31" s="26"/>
      <c r="S31" s="26"/>
      <c r="T31" s="33"/>
      <c r="U31" s="34"/>
      <c r="V31" s="30">
        <f t="shared" si="0"/>
        <v>36</v>
      </c>
    </row>
    <row r="32" spans="1:22" ht="53.15" customHeight="1">
      <c r="A32" s="20"/>
      <c r="B32" s="21" t="s">
        <v>91</v>
      </c>
      <c r="C32" s="22" t="s">
        <v>88</v>
      </c>
      <c r="D32" s="21" t="s">
        <v>41</v>
      </c>
      <c r="E32" s="21" t="s">
        <v>92</v>
      </c>
      <c r="F32" s="24" t="s">
        <v>29</v>
      </c>
      <c r="G32" s="21" t="s">
        <v>30</v>
      </c>
      <c r="H32" s="21" t="s">
        <v>31</v>
      </c>
      <c r="I32" s="24">
        <v>140</v>
      </c>
      <c r="J32" s="32"/>
      <c r="K32" s="20">
        <v>36</v>
      </c>
      <c r="L32" s="20"/>
      <c r="M32" s="26"/>
      <c r="N32" s="26"/>
      <c r="O32" s="26"/>
      <c r="P32" s="27"/>
      <c r="Q32" s="25"/>
      <c r="R32" s="26"/>
      <c r="S32" s="26"/>
      <c r="T32" s="33"/>
      <c r="U32" s="34"/>
      <c r="V32" s="30">
        <f t="shared" si="0"/>
        <v>36</v>
      </c>
    </row>
    <row r="33" spans="1:22" ht="53.15" customHeight="1">
      <c r="A33" s="20"/>
      <c r="B33" s="21" t="s">
        <v>93</v>
      </c>
      <c r="C33" s="22" t="s">
        <v>88</v>
      </c>
      <c r="D33" s="21" t="s">
        <v>42</v>
      </c>
      <c r="E33" s="21" t="s">
        <v>94</v>
      </c>
      <c r="F33" s="31" t="s">
        <v>35</v>
      </c>
      <c r="G33" s="21" t="s">
        <v>30</v>
      </c>
      <c r="H33" s="21" t="s">
        <v>31</v>
      </c>
      <c r="I33" s="24">
        <v>140</v>
      </c>
      <c r="J33" s="25"/>
      <c r="K33" s="26"/>
      <c r="L33" s="26"/>
      <c r="M33" s="26"/>
      <c r="N33" s="26"/>
      <c r="O33" s="26"/>
      <c r="P33" s="35"/>
      <c r="Q33" s="32">
        <v>12</v>
      </c>
      <c r="R33" s="20"/>
      <c r="S33" s="26"/>
      <c r="T33" s="33"/>
      <c r="U33" s="34"/>
      <c r="V33" s="30">
        <f t="shared" si="0"/>
        <v>12</v>
      </c>
    </row>
    <row r="34" spans="1:22" ht="53.15" customHeight="1">
      <c r="A34" s="20"/>
      <c r="B34" s="21" t="s">
        <v>95</v>
      </c>
      <c r="C34" s="22" t="s">
        <v>88</v>
      </c>
      <c r="D34" s="21" t="s">
        <v>42</v>
      </c>
      <c r="E34" s="21" t="s">
        <v>96</v>
      </c>
      <c r="F34" s="24" t="s">
        <v>29</v>
      </c>
      <c r="G34" s="21" t="s">
        <v>30</v>
      </c>
      <c r="H34" s="21" t="s">
        <v>31</v>
      </c>
      <c r="I34" s="24">
        <v>140</v>
      </c>
      <c r="J34" s="25"/>
      <c r="K34" s="26"/>
      <c r="L34" s="26"/>
      <c r="M34" s="26"/>
      <c r="N34" s="26"/>
      <c r="O34" s="26"/>
      <c r="P34" s="35"/>
      <c r="Q34" s="32">
        <v>24</v>
      </c>
      <c r="R34" s="20"/>
      <c r="S34" s="26"/>
      <c r="T34" s="33"/>
      <c r="U34" s="34"/>
      <c r="V34" s="30">
        <f t="shared" si="0"/>
        <v>24</v>
      </c>
    </row>
    <row r="35" spans="1:22" ht="53.15" customHeight="1">
      <c r="A35" s="20"/>
      <c r="B35" s="21" t="s">
        <v>97</v>
      </c>
      <c r="C35" s="22" t="s">
        <v>88</v>
      </c>
      <c r="D35" s="21" t="s">
        <v>42</v>
      </c>
      <c r="E35" s="21" t="s">
        <v>98</v>
      </c>
      <c r="F35" s="24" t="s">
        <v>29</v>
      </c>
      <c r="G35" s="21" t="s">
        <v>30</v>
      </c>
      <c r="H35" s="21" t="s">
        <v>31</v>
      </c>
      <c r="I35" s="24">
        <v>140</v>
      </c>
      <c r="J35" s="25"/>
      <c r="K35" s="26"/>
      <c r="L35" s="26"/>
      <c r="M35" s="26"/>
      <c r="N35" s="26"/>
      <c r="O35" s="26"/>
      <c r="P35" s="35"/>
      <c r="Q35" s="32">
        <v>24</v>
      </c>
      <c r="R35" s="20"/>
      <c r="S35" s="26"/>
      <c r="T35" s="33"/>
      <c r="U35" s="34"/>
      <c r="V35" s="30">
        <f t="shared" si="0"/>
        <v>24</v>
      </c>
    </row>
    <row r="36" spans="1:22" ht="53.15" customHeight="1">
      <c r="A36" s="20"/>
      <c r="B36" s="21" t="s">
        <v>99</v>
      </c>
      <c r="C36" s="22" t="s">
        <v>100</v>
      </c>
      <c r="D36" s="23" t="s">
        <v>27</v>
      </c>
      <c r="E36" s="21" t="s">
        <v>101</v>
      </c>
      <c r="F36" s="24" t="s">
        <v>29</v>
      </c>
      <c r="G36" s="21" t="s">
        <v>30</v>
      </c>
      <c r="H36" s="21" t="s">
        <v>31</v>
      </c>
      <c r="I36" s="24">
        <v>180</v>
      </c>
      <c r="J36" s="25"/>
      <c r="K36" s="26"/>
      <c r="L36" s="26"/>
      <c r="M36" s="20">
        <v>24</v>
      </c>
      <c r="N36" s="20"/>
      <c r="O36" s="20"/>
      <c r="P36" s="27"/>
      <c r="Q36" s="25"/>
      <c r="R36" s="26"/>
      <c r="S36" s="20">
        <v>24</v>
      </c>
      <c r="T36" s="28"/>
      <c r="U36" s="29"/>
      <c r="V36" s="30">
        <f t="shared" si="0"/>
        <v>48</v>
      </c>
    </row>
    <row r="37" spans="1:22" ht="53.15" customHeight="1">
      <c r="A37" s="20"/>
      <c r="B37" s="21" t="s">
        <v>102</v>
      </c>
      <c r="C37" s="22" t="s">
        <v>100</v>
      </c>
      <c r="D37" s="23" t="s">
        <v>27</v>
      </c>
      <c r="E37" s="21" t="s">
        <v>103</v>
      </c>
      <c r="F37" s="24" t="s">
        <v>29</v>
      </c>
      <c r="G37" s="21" t="s">
        <v>30</v>
      </c>
      <c r="H37" s="21" t="s">
        <v>31</v>
      </c>
      <c r="I37" s="24">
        <v>180</v>
      </c>
      <c r="J37" s="25"/>
      <c r="K37" s="26"/>
      <c r="L37" s="26"/>
      <c r="M37" s="20"/>
      <c r="N37" s="20">
        <v>24</v>
      </c>
      <c r="O37" s="20"/>
      <c r="P37" s="27"/>
      <c r="Q37" s="25"/>
      <c r="R37" s="26"/>
      <c r="S37" s="20"/>
      <c r="T37" s="28">
        <v>24</v>
      </c>
      <c r="U37" s="29"/>
      <c r="V37" s="30">
        <f t="shared" si="0"/>
        <v>48</v>
      </c>
    </row>
    <row r="38" spans="1:22" ht="53.15" customHeight="1">
      <c r="A38" s="20"/>
      <c r="B38" s="21" t="s">
        <v>104</v>
      </c>
      <c r="C38" s="22" t="s">
        <v>105</v>
      </c>
      <c r="D38" s="23" t="s">
        <v>27</v>
      </c>
      <c r="E38" s="21" t="s">
        <v>106</v>
      </c>
      <c r="F38" s="31" t="s">
        <v>35</v>
      </c>
      <c r="G38" s="21" t="s">
        <v>30</v>
      </c>
      <c r="H38" s="21" t="s">
        <v>31</v>
      </c>
      <c r="I38" s="24">
        <v>200</v>
      </c>
      <c r="J38" s="25"/>
      <c r="K38" s="26"/>
      <c r="L38" s="26"/>
      <c r="M38" s="20"/>
      <c r="N38" s="20"/>
      <c r="O38" s="20"/>
      <c r="P38" s="27"/>
      <c r="Q38" s="25"/>
      <c r="R38" s="26"/>
      <c r="S38" s="20">
        <v>24</v>
      </c>
      <c r="T38" s="28"/>
      <c r="U38" s="29"/>
      <c r="V38" s="30">
        <f t="shared" si="0"/>
        <v>24</v>
      </c>
    </row>
    <row r="39" spans="1:22" ht="53.15" customHeight="1">
      <c r="A39" s="20"/>
      <c r="B39" s="21" t="s">
        <v>107</v>
      </c>
      <c r="C39" s="22" t="s">
        <v>105</v>
      </c>
      <c r="D39" s="23" t="s">
        <v>27</v>
      </c>
      <c r="E39" s="21" t="s">
        <v>108</v>
      </c>
      <c r="F39" s="24" t="s">
        <v>29</v>
      </c>
      <c r="G39" s="21" t="s">
        <v>30</v>
      </c>
      <c r="H39" s="21" t="s">
        <v>31</v>
      </c>
      <c r="I39" s="24">
        <v>200</v>
      </c>
      <c r="J39" s="25"/>
      <c r="K39" s="26"/>
      <c r="L39" s="26"/>
      <c r="M39" s="20"/>
      <c r="N39" s="20"/>
      <c r="O39" s="20"/>
      <c r="P39" s="27"/>
      <c r="Q39" s="25"/>
      <c r="R39" s="26"/>
      <c r="S39" s="20"/>
      <c r="T39" s="28"/>
      <c r="U39" s="29"/>
      <c r="V39" s="30">
        <f t="shared" si="0"/>
        <v>0</v>
      </c>
    </row>
    <row r="40" spans="1:22" ht="53.15" customHeight="1">
      <c r="A40" s="20"/>
      <c r="B40" s="21" t="s">
        <v>109</v>
      </c>
      <c r="C40" s="22" t="s">
        <v>110</v>
      </c>
      <c r="D40" s="21" t="s">
        <v>42</v>
      </c>
      <c r="E40" s="21" t="s">
        <v>111</v>
      </c>
      <c r="F40" s="31" t="s">
        <v>35</v>
      </c>
      <c r="G40" s="21" t="s">
        <v>30</v>
      </c>
      <c r="H40" s="21" t="s">
        <v>31</v>
      </c>
      <c r="I40" s="24">
        <v>150</v>
      </c>
      <c r="J40" s="25"/>
      <c r="K40" s="26"/>
      <c r="L40" s="26"/>
      <c r="M40" s="26"/>
      <c r="N40" s="26"/>
      <c r="O40" s="26"/>
      <c r="P40" s="35">
        <v>24</v>
      </c>
      <c r="Q40" s="32"/>
      <c r="R40" s="20"/>
      <c r="S40" s="26"/>
      <c r="T40" s="33"/>
      <c r="U40" s="34"/>
      <c r="V40" s="30">
        <f t="shared" si="0"/>
        <v>24</v>
      </c>
    </row>
    <row r="41" spans="1:22" ht="53.15" customHeight="1">
      <c r="A41" s="20"/>
      <c r="B41" s="21" t="s">
        <v>112</v>
      </c>
      <c r="C41" s="22" t="s">
        <v>110</v>
      </c>
      <c r="D41" s="21" t="s">
        <v>42</v>
      </c>
      <c r="E41" s="21" t="s">
        <v>113</v>
      </c>
      <c r="F41" s="24" t="s">
        <v>29</v>
      </c>
      <c r="G41" s="21" t="s">
        <v>30</v>
      </c>
      <c r="H41" s="21" t="s">
        <v>31</v>
      </c>
      <c r="I41" s="24">
        <v>150</v>
      </c>
      <c r="J41" s="25"/>
      <c r="K41" s="26"/>
      <c r="L41" s="26"/>
      <c r="M41" s="26"/>
      <c r="N41" s="26"/>
      <c r="O41" s="26"/>
      <c r="P41" s="35">
        <v>12</v>
      </c>
      <c r="Q41" s="32"/>
      <c r="R41" s="20"/>
      <c r="S41" s="26"/>
      <c r="T41" s="33"/>
      <c r="U41" s="34"/>
      <c r="V41" s="30">
        <f t="shared" si="0"/>
        <v>12</v>
      </c>
    </row>
    <row r="42" spans="1:22" ht="53.15" customHeight="1">
      <c r="A42" s="20"/>
      <c r="B42" s="21" t="s">
        <v>114</v>
      </c>
      <c r="C42" s="22" t="s">
        <v>115</v>
      </c>
      <c r="D42" s="21" t="s">
        <v>41</v>
      </c>
      <c r="E42" s="21" t="s">
        <v>116</v>
      </c>
      <c r="F42" s="24" t="s">
        <v>29</v>
      </c>
      <c r="G42" s="21" t="s">
        <v>30</v>
      </c>
      <c r="H42" s="21" t="s">
        <v>31</v>
      </c>
      <c r="I42" s="24">
        <v>165</v>
      </c>
      <c r="J42" s="32"/>
      <c r="K42" s="20">
        <v>24</v>
      </c>
      <c r="L42" s="20"/>
      <c r="M42" s="26"/>
      <c r="N42" s="26"/>
      <c r="O42" s="26"/>
      <c r="P42" s="27"/>
      <c r="Q42" s="25"/>
      <c r="R42" s="26"/>
      <c r="S42" s="26"/>
      <c r="T42" s="33"/>
      <c r="U42" s="34"/>
      <c r="V42" s="30">
        <f t="shared" si="0"/>
        <v>24</v>
      </c>
    </row>
    <row r="43" spans="1:22" ht="53.15" customHeight="1">
      <c r="A43" s="20"/>
      <c r="B43" s="21" t="s">
        <v>117</v>
      </c>
      <c r="C43" s="22" t="s">
        <v>115</v>
      </c>
      <c r="D43" s="21" t="s">
        <v>41</v>
      </c>
      <c r="E43" s="21" t="s">
        <v>118</v>
      </c>
      <c r="F43" s="24" t="s">
        <v>29</v>
      </c>
      <c r="G43" s="21" t="s">
        <v>30</v>
      </c>
      <c r="H43" s="21" t="s">
        <v>31</v>
      </c>
      <c r="I43" s="24">
        <v>165</v>
      </c>
      <c r="J43" s="32"/>
      <c r="K43" s="20">
        <v>36</v>
      </c>
      <c r="L43" s="20"/>
      <c r="M43" s="26"/>
      <c r="N43" s="26"/>
      <c r="O43" s="26"/>
      <c r="P43" s="27"/>
      <c r="Q43" s="25"/>
      <c r="R43" s="26"/>
      <c r="S43" s="26"/>
      <c r="T43" s="33"/>
      <c r="U43" s="34"/>
      <c r="V43" s="30">
        <f t="shared" si="0"/>
        <v>36</v>
      </c>
    </row>
    <row r="44" spans="1:22" ht="53.15" customHeight="1">
      <c r="A44" s="20"/>
      <c r="B44" s="21" t="s">
        <v>119</v>
      </c>
      <c r="C44" s="22" t="s">
        <v>115</v>
      </c>
      <c r="D44" s="21" t="s">
        <v>41</v>
      </c>
      <c r="E44" s="21" t="s">
        <v>120</v>
      </c>
      <c r="F44" s="24" t="s">
        <v>29</v>
      </c>
      <c r="G44" s="21" t="s">
        <v>30</v>
      </c>
      <c r="H44" s="21" t="s">
        <v>31</v>
      </c>
      <c r="I44" s="24">
        <v>165</v>
      </c>
      <c r="J44" s="32"/>
      <c r="K44" s="20">
        <v>48</v>
      </c>
      <c r="L44" s="20"/>
      <c r="M44" s="26"/>
      <c r="N44" s="26"/>
      <c r="O44" s="26"/>
      <c r="P44" s="27"/>
      <c r="Q44" s="25"/>
      <c r="R44" s="26"/>
      <c r="S44" s="26"/>
      <c r="T44" s="33"/>
      <c r="U44" s="34"/>
      <c r="V44" s="30">
        <f t="shared" si="0"/>
        <v>48</v>
      </c>
    </row>
    <row r="45" spans="1:22" ht="53.15" customHeight="1">
      <c r="A45" s="20"/>
      <c r="B45" s="21" t="s">
        <v>121</v>
      </c>
      <c r="C45" s="22" t="s">
        <v>115</v>
      </c>
      <c r="D45" s="21" t="s">
        <v>41</v>
      </c>
      <c r="E45" s="21" t="s">
        <v>122</v>
      </c>
      <c r="F45" s="24" t="s">
        <v>29</v>
      </c>
      <c r="G45" s="21" t="s">
        <v>30</v>
      </c>
      <c r="H45" s="21" t="s">
        <v>31</v>
      </c>
      <c r="I45" s="24">
        <v>165</v>
      </c>
      <c r="J45" s="32"/>
      <c r="K45" s="20">
        <v>48</v>
      </c>
      <c r="L45" s="20"/>
      <c r="M45" s="26"/>
      <c r="N45" s="26"/>
      <c r="O45" s="26"/>
      <c r="P45" s="27"/>
      <c r="Q45" s="25"/>
      <c r="R45" s="26"/>
      <c r="S45" s="26"/>
      <c r="T45" s="33"/>
      <c r="U45" s="34"/>
      <c r="V45" s="30">
        <f t="shared" si="0"/>
        <v>48</v>
      </c>
    </row>
    <row r="46" spans="1:22" ht="53.15" customHeight="1">
      <c r="A46" s="20"/>
      <c r="B46" s="21" t="s">
        <v>123</v>
      </c>
      <c r="C46" s="22" t="s">
        <v>115</v>
      </c>
      <c r="D46" s="21" t="s">
        <v>41</v>
      </c>
      <c r="E46" s="21" t="s">
        <v>124</v>
      </c>
      <c r="F46" s="24" t="s">
        <v>29</v>
      </c>
      <c r="G46" s="21" t="s">
        <v>30</v>
      </c>
      <c r="H46" s="21" t="s">
        <v>31</v>
      </c>
      <c r="I46" s="24">
        <v>165</v>
      </c>
      <c r="J46" s="32"/>
      <c r="K46" s="20">
        <v>24</v>
      </c>
      <c r="L46" s="20"/>
      <c r="M46" s="26"/>
      <c r="N46" s="26"/>
      <c r="O46" s="26"/>
      <c r="P46" s="27"/>
      <c r="Q46" s="25"/>
      <c r="R46" s="26"/>
      <c r="S46" s="26"/>
      <c r="T46" s="33"/>
      <c r="U46" s="34"/>
      <c r="V46" s="30">
        <f t="shared" si="0"/>
        <v>24</v>
      </c>
    </row>
    <row r="47" spans="1:22" ht="53.15" customHeight="1">
      <c r="A47" s="20"/>
      <c r="B47" s="21" t="s">
        <v>125</v>
      </c>
      <c r="C47" s="22" t="s">
        <v>115</v>
      </c>
      <c r="D47" s="21" t="s">
        <v>41</v>
      </c>
      <c r="E47" s="21" t="s">
        <v>45</v>
      </c>
      <c r="F47" s="24" t="s">
        <v>29</v>
      </c>
      <c r="G47" s="21" t="s">
        <v>30</v>
      </c>
      <c r="H47" s="21" t="s">
        <v>31</v>
      </c>
      <c r="I47" s="24">
        <v>165</v>
      </c>
      <c r="J47" s="32"/>
      <c r="K47" s="20">
        <v>24</v>
      </c>
      <c r="L47" s="20"/>
      <c r="M47" s="26"/>
      <c r="N47" s="26"/>
      <c r="O47" s="26"/>
      <c r="P47" s="27"/>
      <c r="Q47" s="25"/>
      <c r="R47" s="26"/>
      <c r="S47" s="26"/>
      <c r="T47" s="33"/>
      <c r="U47" s="34"/>
      <c r="V47" s="30">
        <f t="shared" si="0"/>
        <v>24</v>
      </c>
    </row>
    <row r="48" spans="1:22" ht="53.15" customHeight="1">
      <c r="A48" s="20"/>
      <c r="B48" s="21" t="s">
        <v>126</v>
      </c>
      <c r="C48" s="22" t="s">
        <v>115</v>
      </c>
      <c r="D48" s="21" t="s">
        <v>42</v>
      </c>
      <c r="E48" s="21" t="s">
        <v>127</v>
      </c>
      <c r="F48" s="24" t="s">
        <v>29</v>
      </c>
      <c r="G48" s="21" t="s">
        <v>30</v>
      </c>
      <c r="H48" s="21" t="s">
        <v>31</v>
      </c>
      <c r="I48" s="24">
        <v>165</v>
      </c>
      <c r="J48" s="25"/>
      <c r="K48" s="26"/>
      <c r="L48" s="26"/>
      <c r="M48" s="26"/>
      <c r="N48" s="26"/>
      <c r="O48" s="26"/>
      <c r="P48" s="35">
        <v>12</v>
      </c>
      <c r="Q48" s="32">
        <v>24</v>
      </c>
      <c r="R48" s="20"/>
      <c r="S48" s="26"/>
      <c r="T48" s="33"/>
      <c r="U48" s="34"/>
      <c r="V48" s="30">
        <f t="shared" ref="V48:V70" si="1">SUM(J48:U48)</f>
        <v>36</v>
      </c>
    </row>
    <row r="49" spans="1:22" ht="53.15" customHeight="1">
      <c r="A49" s="20"/>
      <c r="B49" s="21" t="s">
        <v>128</v>
      </c>
      <c r="C49" s="22" t="s">
        <v>115</v>
      </c>
      <c r="D49" s="21" t="s">
        <v>42</v>
      </c>
      <c r="E49" s="21" t="s">
        <v>118</v>
      </c>
      <c r="F49" s="24" t="s">
        <v>29</v>
      </c>
      <c r="G49" s="21" t="s">
        <v>30</v>
      </c>
      <c r="H49" s="21" t="s">
        <v>31</v>
      </c>
      <c r="I49" s="24">
        <v>165</v>
      </c>
      <c r="J49" s="25"/>
      <c r="K49" s="26"/>
      <c r="L49" s="26"/>
      <c r="M49" s="26"/>
      <c r="N49" s="26"/>
      <c r="O49" s="26"/>
      <c r="P49" s="35">
        <v>12</v>
      </c>
      <c r="Q49" s="32">
        <v>24</v>
      </c>
      <c r="R49" s="20"/>
      <c r="S49" s="26"/>
      <c r="T49" s="33"/>
      <c r="U49" s="34"/>
      <c r="V49" s="30">
        <f t="shared" si="1"/>
        <v>36</v>
      </c>
    </row>
    <row r="50" spans="1:22" ht="53.15" customHeight="1">
      <c r="A50" s="20"/>
      <c r="B50" s="21" t="s">
        <v>129</v>
      </c>
      <c r="C50" s="22" t="s">
        <v>115</v>
      </c>
      <c r="D50" s="21" t="s">
        <v>42</v>
      </c>
      <c r="E50" s="21" t="s">
        <v>98</v>
      </c>
      <c r="F50" s="24" t="s">
        <v>29</v>
      </c>
      <c r="G50" s="21" t="s">
        <v>30</v>
      </c>
      <c r="H50" s="21" t="s">
        <v>31</v>
      </c>
      <c r="I50" s="24">
        <v>165</v>
      </c>
      <c r="J50" s="25"/>
      <c r="K50" s="26"/>
      <c r="L50" s="26"/>
      <c r="M50" s="26"/>
      <c r="N50" s="26"/>
      <c r="O50" s="26"/>
      <c r="P50" s="35">
        <v>24</v>
      </c>
      <c r="Q50" s="32">
        <v>24</v>
      </c>
      <c r="R50" s="20"/>
      <c r="S50" s="26"/>
      <c r="T50" s="33"/>
      <c r="U50" s="34"/>
      <c r="V50" s="30">
        <f t="shared" si="1"/>
        <v>48</v>
      </c>
    </row>
    <row r="51" spans="1:22" ht="53.15" customHeight="1">
      <c r="A51" s="20"/>
      <c r="B51" s="21" t="s">
        <v>130</v>
      </c>
      <c r="C51" s="22" t="s">
        <v>115</v>
      </c>
      <c r="D51" s="21" t="s">
        <v>42</v>
      </c>
      <c r="E51" s="21" t="s">
        <v>131</v>
      </c>
      <c r="F51" s="24" t="s">
        <v>29</v>
      </c>
      <c r="G51" s="21" t="s">
        <v>30</v>
      </c>
      <c r="H51" s="21" t="s">
        <v>31</v>
      </c>
      <c r="I51" s="24">
        <v>165</v>
      </c>
      <c r="J51" s="25"/>
      <c r="K51" s="26"/>
      <c r="L51" s="26"/>
      <c r="M51" s="26"/>
      <c r="N51" s="26"/>
      <c r="O51" s="26"/>
      <c r="P51" s="35">
        <v>12</v>
      </c>
      <c r="Q51" s="32">
        <v>24</v>
      </c>
      <c r="R51" s="20"/>
      <c r="S51" s="26"/>
      <c r="T51" s="33"/>
      <c r="U51" s="34"/>
      <c r="V51" s="30">
        <f t="shared" si="1"/>
        <v>36</v>
      </c>
    </row>
    <row r="52" spans="1:22" ht="53.15" customHeight="1">
      <c r="A52" s="20"/>
      <c r="B52" s="21" t="s">
        <v>132</v>
      </c>
      <c r="C52" s="22" t="s">
        <v>115</v>
      </c>
      <c r="D52" s="21" t="s">
        <v>42</v>
      </c>
      <c r="E52" s="21" t="s">
        <v>47</v>
      </c>
      <c r="F52" s="24" t="s">
        <v>29</v>
      </c>
      <c r="G52" s="21" t="s">
        <v>30</v>
      </c>
      <c r="H52" s="21" t="s">
        <v>31</v>
      </c>
      <c r="I52" s="24">
        <v>165</v>
      </c>
      <c r="J52" s="25"/>
      <c r="K52" s="26"/>
      <c r="L52" s="26"/>
      <c r="M52" s="26"/>
      <c r="N52" s="26"/>
      <c r="O52" s="26"/>
      <c r="P52" s="35">
        <v>24</v>
      </c>
      <c r="Q52" s="32"/>
      <c r="R52" s="20"/>
      <c r="S52" s="26"/>
      <c r="T52" s="33"/>
      <c r="U52" s="34"/>
      <c r="V52" s="30">
        <f t="shared" si="1"/>
        <v>24</v>
      </c>
    </row>
    <row r="53" spans="1:22" ht="53.15" customHeight="1">
      <c r="A53" s="20"/>
      <c r="B53" s="21" t="s">
        <v>133</v>
      </c>
      <c r="C53" s="22" t="s">
        <v>134</v>
      </c>
      <c r="D53" s="21" t="s">
        <v>41</v>
      </c>
      <c r="E53" s="21" t="s">
        <v>135</v>
      </c>
      <c r="F53" s="24" t="s">
        <v>29</v>
      </c>
      <c r="G53" s="21" t="s">
        <v>30</v>
      </c>
      <c r="H53" s="21" t="s">
        <v>31</v>
      </c>
      <c r="I53" s="24">
        <v>140</v>
      </c>
      <c r="J53" s="32"/>
      <c r="K53" s="20">
        <v>24</v>
      </c>
      <c r="L53" s="20"/>
      <c r="M53" s="26"/>
      <c r="N53" s="26"/>
      <c r="O53" s="26"/>
      <c r="P53" s="27"/>
      <c r="Q53" s="25"/>
      <c r="R53" s="26"/>
      <c r="S53" s="26"/>
      <c r="T53" s="33"/>
      <c r="U53" s="34"/>
      <c r="V53" s="30">
        <f t="shared" si="1"/>
        <v>24</v>
      </c>
    </row>
    <row r="54" spans="1:22" ht="53.15" customHeight="1">
      <c r="A54" s="20"/>
      <c r="B54" s="21" t="s">
        <v>136</v>
      </c>
      <c r="C54" s="22" t="s">
        <v>134</v>
      </c>
      <c r="D54" s="21" t="s">
        <v>41</v>
      </c>
      <c r="E54" s="21" t="s">
        <v>122</v>
      </c>
      <c r="F54" s="24" t="s">
        <v>29</v>
      </c>
      <c r="G54" s="21" t="s">
        <v>30</v>
      </c>
      <c r="H54" s="21" t="s">
        <v>31</v>
      </c>
      <c r="I54" s="24">
        <v>140</v>
      </c>
      <c r="J54" s="32"/>
      <c r="K54" s="20">
        <v>36</v>
      </c>
      <c r="L54" s="20"/>
      <c r="M54" s="26"/>
      <c r="N54" s="26"/>
      <c r="O54" s="26"/>
      <c r="P54" s="27"/>
      <c r="Q54" s="25"/>
      <c r="R54" s="26"/>
      <c r="S54" s="26"/>
      <c r="T54" s="33"/>
      <c r="U54" s="34"/>
      <c r="V54" s="30">
        <f t="shared" si="1"/>
        <v>36</v>
      </c>
    </row>
    <row r="55" spans="1:22" ht="53.15" customHeight="1">
      <c r="A55" s="20"/>
      <c r="B55" s="21" t="s">
        <v>137</v>
      </c>
      <c r="C55" s="22" t="s">
        <v>134</v>
      </c>
      <c r="D55" s="21" t="s">
        <v>41</v>
      </c>
      <c r="E55" s="21" t="s">
        <v>138</v>
      </c>
      <c r="F55" s="24" t="s">
        <v>29</v>
      </c>
      <c r="G55" s="21" t="s">
        <v>30</v>
      </c>
      <c r="H55" s="21" t="s">
        <v>31</v>
      </c>
      <c r="I55" s="24">
        <v>140</v>
      </c>
      <c r="J55" s="32"/>
      <c r="K55" s="20">
        <v>24</v>
      </c>
      <c r="L55" s="20"/>
      <c r="M55" s="26"/>
      <c r="N55" s="26"/>
      <c r="O55" s="26"/>
      <c r="P55" s="27"/>
      <c r="Q55" s="25"/>
      <c r="R55" s="26"/>
      <c r="S55" s="26"/>
      <c r="T55" s="33"/>
      <c r="U55" s="34"/>
      <c r="V55" s="30">
        <f t="shared" si="1"/>
        <v>24</v>
      </c>
    </row>
    <row r="56" spans="1:22" ht="53.15" customHeight="1">
      <c r="A56" s="20"/>
      <c r="B56" s="21" t="s">
        <v>139</v>
      </c>
      <c r="C56" s="22" t="s">
        <v>134</v>
      </c>
      <c r="D56" s="21" t="s">
        <v>41</v>
      </c>
      <c r="E56" s="21" t="s">
        <v>140</v>
      </c>
      <c r="F56" s="24" t="s">
        <v>29</v>
      </c>
      <c r="G56" s="21" t="s">
        <v>30</v>
      </c>
      <c r="H56" s="21" t="s">
        <v>31</v>
      </c>
      <c r="I56" s="24">
        <v>140</v>
      </c>
      <c r="J56" s="32"/>
      <c r="K56" s="20">
        <v>24</v>
      </c>
      <c r="L56" s="20"/>
      <c r="M56" s="26"/>
      <c r="N56" s="26"/>
      <c r="O56" s="26"/>
      <c r="P56" s="27"/>
      <c r="Q56" s="25"/>
      <c r="R56" s="26"/>
      <c r="S56" s="26"/>
      <c r="T56" s="33"/>
      <c r="U56" s="34"/>
      <c r="V56" s="30">
        <f t="shared" si="1"/>
        <v>24</v>
      </c>
    </row>
    <row r="57" spans="1:22" ht="53.15" customHeight="1">
      <c r="A57" s="20"/>
      <c r="B57" s="21" t="s">
        <v>141</v>
      </c>
      <c r="C57" s="22" t="s">
        <v>134</v>
      </c>
      <c r="D57" s="21" t="s">
        <v>42</v>
      </c>
      <c r="E57" s="21" t="s">
        <v>142</v>
      </c>
      <c r="F57" s="24" t="s">
        <v>29</v>
      </c>
      <c r="G57" s="21" t="s">
        <v>30</v>
      </c>
      <c r="H57" s="21" t="s">
        <v>31</v>
      </c>
      <c r="I57" s="24">
        <v>140</v>
      </c>
      <c r="J57" s="25"/>
      <c r="K57" s="26"/>
      <c r="L57" s="26"/>
      <c r="M57" s="26"/>
      <c r="N57" s="26"/>
      <c r="O57" s="26"/>
      <c r="P57" s="35"/>
      <c r="Q57" s="32">
        <v>24</v>
      </c>
      <c r="R57" s="20"/>
      <c r="S57" s="26"/>
      <c r="T57" s="33"/>
      <c r="U57" s="34"/>
      <c r="V57" s="30">
        <f t="shared" si="1"/>
        <v>24</v>
      </c>
    </row>
    <row r="58" spans="1:22" ht="53.15" customHeight="1">
      <c r="A58" s="20"/>
      <c r="B58" s="21" t="s">
        <v>143</v>
      </c>
      <c r="C58" s="22" t="s">
        <v>134</v>
      </c>
      <c r="D58" s="21" t="s">
        <v>42</v>
      </c>
      <c r="E58" s="21" t="s">
        <v>98</v>
      </c>
      <c r="F58" s="24" t="s">
        <v>29</v>
      </c>
      <c r="G58" s="21" t="s">
        <v>30</v>
      </c>
      <c r="H58" s="21" t="s">
        <v>31</v>
      </c>
      <c r="I58" s="24">
        <v>140</v>
      </c>
      <c r="J58" s="25"/>
      <c r="K58" s="26"/>
      <c r="L58" s="26"/>
      <c r="M58" s="26"/>
      <c r="N58" s="26"/>
      <c r="O58" s="26"/>
      <c r="P58" s="35">
        <v>12</v>
      </c>
      <c r="Q58" s="32">
        <v>24</v>
      </c>
      <c r="R58" s="20"/>
      <c r="S58" s="26"/>
      <c r="T58" s="33"/>
      <c r="U58" s="34"/>
      <c r="V58" s="30">
        <f t="shared" si="1"/>
        <v>36</v>
      </c>
    </row>
    <row r="59" spans="1:22" ht="53.15" customHeight="1">
      <c r="A59" s="20"/>
      <c r="B59" s="21" t="s">
        <v>144</v>
      </c>
      <c r="C59" s="22" t="s">
        <v>134</v>
      </c>
      <c r="D59" s="21" t="s">
        <v>42</v>
      </c>
      <c r="E59" s="21" t="s">
        <v>50</v>
      </c>
      <c r="F59" s="24" t="s">
        <v>29</v>
      </c>
      <c r="G59" s="21" t="s">
        <v>30</v>
      </c>
      <c r="H59" s="21" t="s">
        <v>31</v>
      </c>
      <c r="I59" s="24">
        <v>140</v>
      </c>
      <c r="J59" s="25"/>
      <c r="K59" s="26"/>
      <c r="L59" s="26"/>
      <c r="M59" s="26"/>
      <c r="N59" s="26"/>
      <c r="O59" s="26"/>
      <c r="P59" s="35">
        <v>24</v>
      </c>
      <c r="Q59" s="32"/>
      <c r="R59" s="20"/>
      <c r="S59" s="26"/>
      <c r="T59" s="33"/>
      <c r="U59" s="34"/>
      <c r="V59" s="30">
        <f t="shared" si="1"/>
        <v>24</v>
      </c>
    </row>
    <row r="60" spans="1:22" ht="53.15" customHeight="1">
      <c r="A60" s="20"/>
      <c r="B60" s="21" t="s">
        <v>145</v>
      </c>
      <c r="C60" s="22" t="s">
        <v>146</v>
      </c>
      <c r="D60" s="23" t="s">
        <v>27</v>
      </c>
      <c r="E60" s="21" t="s">
        <v>147</v>
      </c>
      <c r="F60" s="31" t="s">
        <v>35</v>
      </c>
      <c r="G60" s="21" t="s">
        <v>30</v>
      </c>
      <c r="H60" s="21" t="s">
        <v>31</v>
      </c>
      <c r="I60" s="24">
        <v>250</v>
      </c>
      <c r="J60" s="25"/>
      <c r="K60" s="26"/>
      <c r="L60" s="26"/>
      <c r="M60" s="20"/>
      <c r="N60" s="20">
        <v>12</v>
      </c>
      <c r="O60" s="20"/>
      <c r="P60" s="27"/>
      <c r="Q60" s="25"/>
      <c r="R60" s="26"/>
      <c r="S60" s="20"/>
      <c r="T60" s="28"/>
      <c r="U60" s="29"/>
      <c r="V60" s="30">
        <f t="shared" si="1"/>
        <v>12</v>
      </c>
    </row>
    <row r="61" spans="1:22" ht="53.15" customHeight="1">
      <c r="A61" s="20"/>
      <c r="B61" s="21" t="s">
        <v>148</v>
      </c>
      <c r="C61" s="22" t="s">
        <v>149</v>
      </c>
      <c r="D61" s="21" t="s">
        <v>41</v>
      </c>
      <c r="E61" s="21" t="s">
        <v>150</v>
      </c>
      <c r="F61" s="24" t="s">
        <v>29</v>
      </c>
      <c r="G61" s="21" t="s">
        <v>30</v>
      </c>
      <c r="H61" s="21" t="s">
        <v>31</v>
      </c>
      <c r="I61" s="24">
        <v>160</v>
      </c>
      <c r="J61" s="32"/>
      <c r="K61" s="20">
        <v>24</v>
      </c>
      <c r="L61" s="20"/>
      <c r="M61" s="26"/>
      <c r="N61" s="26"/>
      <c r="O61" s="26"/>
      <c r="P61" s="27"/>
      <c r="Q61" s="25"/>
      <c r="R61" s="26"/>
      <c r="S61" s="26"/>
      <c r="T61" s="33"/>
      <c r="U61" s="34"/>
      <c r="V61" s="30">
        <f t="shared" si="1"/>
        <v>24</v>
      </c>
    </row>
    <row r="62" spans="1:22" ht="53.15" customHeight="1">
      <c r="A62" s="20"/>
      <c r="B62" s="21" t="s">
        <v>151</v>
      </c>
      <c r="C62" s="22" t="s">
        <v>149</v>
      </c>
      <c r="D62" s="21" t="s">
        <v>42</v>
      </c>
      <c r="E62" s="21" t="s">
        <v>152</v>
      </c>
      <c r="F62" s="24" t="s">
        <v>29</v>
      </c>
      <c r="G62" s="21" t="s">
        <v>30</v>
      </c>
      <c r="H62" s="21" t="s">
        <v>31</v>
      </c>
      <c r="I62" s="24">
        <v>160</v>
      </c>
      <c r="J62" s="25"/>
      <c r="K62" s="26"/>
      <c r="L62" s="26"/>
      <c r="M62" s="26"/>
      <c r="N62" s="26"/>
      <c r="O62" s="26"/>
      <c r="P62" s="35"/>
      <c r="Q62" s="32">
        <v>24</v>
      </c>
      <c r="R62" s="20"/>
      <c r="S62" s="26"/>
      <c r="T62" s="33"/>
      <c r="U62" s="34"/>
      <c r="V62" s="30">
        <f t="shared" si="1"/>
        <v>24</v>
      </c>
    </row>
    <row r="63" spans="1:22" ht="53.15" customHeight="1">
      <c r="A63" s="20"/>
      <c r="B63" s="21" t="s">
        <v>153</v>
      </c>
      <c r="C63" s="22" t="s">
        <v>154</v>
      </c>
      <c r="D63" s="21" t="s">
        <v>41</v>
      </c>
      <c r="E63" s="21" t="s">
        <v>155</v>
      </c>
      <c r="F63" s="24" t="s">
        <v>29</v>
      </c>
      <c r="G63" s="21" t="s">
        <v>30</v>
      </c>
      <c r="H63" s="21" t="s">
        <v>31</v>
      </c>
      <c r="I63" s="24">
        <v>140</v>
      </c>
      <c r="J63" s="32"/>
      <c r="K63" s="20">
        <v>24</v>
      </c>
      <c r="L63" s="20"/>
      <c r="M63" s="26"/>
      <c r="N63" s="26"/>
      <c r="O63" s="26"/>
      <c r="P63" s="27"/>
      <c r="Q63" s="25"/>
      <c r="R63" s="26"/>
      <c r="S63" s="26"/>
      <c r="T63" s="33"/>
      <c r="U63" s="34"/>
      <c r="V63" s="30">
        <f t="shared" si="1"/>
        <v>24</v>
      </c>
    </row>
    <row r="64" spans="1:22" ht="53.15" customHeight="1">
      <c r="A64" s="20"/>
      <c r="B64" s="21" t="s">
        <v>156</v>
      </c>
      <c r="C64" s="22" t="s">
        <v>154</v>
      </c>
      <c r="D64" s="21" t="s">
        <v>41</v>
      </c>
      <c r="E64" s="21" t="s">
        <v>157</v>
      </c>
      <c r="F64" s="24" t="s">
        <v>29</v>
      </c>
      <c r="G64" s="21" t="s">
        <v>30</v>
      </c>
      <c r="H64" s="21" t="s">
        <v>31</v>
      </c>
      <c r="I64" s="24">
        <v>140</v>
      </c>
      <c r="J64" s="32"/>
      <c r="K64" s="20"/>
      <c r="L64" s="20"/>
      <c r="M64" s="26"/>
      <c r="N64" s="26"/>
      <c r="O64" s="26"/>
      <c r="P64" s="27"/>
      <c r="Q64" s="25"/>
      <c r="R64" s="26"/>
      <c r="S64" s="26"/>
      <c r="T64" s="33"/>
      <c r="U64" s="34"/>
      <c r="V64" s="30">
        <f t="shared" si="1"/>
        <v>0</v>
      </c>
    </row>
    <row r="65" spans="1:22" ht="53.15" customHeight="1">
      <c r="A65" s="20"/>
      <c r="B65" s="21" t="s">
        <v>158</v>
      </c>
      <c r="C65" s="22" t="s">
        <v>154</v>
      </c>
      <c r="D65" s="21" t="s">
        <v>42</v>
      </c>
      <c r="E65" s="21" t="s">
        <v>159</v>
      </c>
      <c r="F65" s="24" t="s">
        <v>29</v>
      </c>
      <c r="G65" s="21" t="s">
        <v>30</v>
      </c>
      <c r="H65" s="21" t="s">
        <v>31</v>
      </c>
      <c r="I65" s="24">
        <v>140</v>
      </c>
      <c r="J65" s="25"/>
      <c r="K65" s="26"/>
      <c r="L65" s="26"/>
      <c r="M65" s="26"/>
      <c r="N65" s="26"/>
      <c r="O65" s="26"/>
      <c r="P65" s="35">
        <v>24</v>
      </c>
      <c r="Q65" s="32"/>
      <c r="R65" s="20"/>
      <c r="S65" s="26"/>
      <c r="T65" s="33"/>
      <c r="U65" s="34"/>
      <c r="V65" s="30">
        <f t="shared" si="1"/>
        <v>24</v>
      </c>
    </row>
    <row r="66" spans="1:22" ht="53.15" customHeight="1">
      <c r="A66" s="20"/>
      <c r="B66" s="21" t="s">
        <v>160</v>
      </c>
      <c r="C66" s="22" t="s">
        <v>154</v>
      </c>
      <c r="D66" s="21" t="s">
        <v>42</v>
      </c>
      <c r="E66" s="21" t="s">
        <v>161</v>
      </c>
      <c r="F66" s="24" t="s">
        <v>29</v>
      </c>
      <c r="G66" s="21" t="s">
        <v>30</v>
      </c>
      <c r="H66" s="21" t="s">
        <v>31</v>
      </c>
      <c r="I66" s="24">
        <v>140</v>
      </c>
      <c r="J66" s="25"/>
      <c r="K66" s="26"/>
      <c r="L66" s="26"/>
      <c r="M66" s="26"/>
      <c r="N66" s="26"/>
      <c r="O66" s="26"/>
      <c r="P66" s="35"/>
      <c r="Q66" s="32"/>
      <c r="R66" s="20"/>
      <c r="S66" s="26"/>
      <c r="T66" s="33"/>
      <c r="U66" s="34"/>
      <c r="V66" s="30">
        <f t="shared" si="1"/>
        <v>0</v>
      </c>
    </row>
    <row r="67" spans="1:22" ht="53.15" customHeight="1">
      <c r="A67" s="20"/>
      <c r="B67" s="21" t="s">
        <v>162</v>
      </c>
      <c r="C67" s="22" t="s">
        <v>163</v>
      </c>
      <c r="D67" s="21" t="s">
        <v>41</v>
      </c>
      <c r="E67" s="21" t="s">
        <v>164</v>
      </c>
      <c r="F67" s="31" t="s">
        <v>35</v>
      </c>
      <c r="G67" s="21" t="s">
        <v>30</v>
      </c>
      <c r="H67" s="21" t="s">
        <v>31</v>
      </c>
      <c r="I67" s="24">
        <v>150</v>
      </c>
      <c r="J67" s="32"/>
      <c r="K67" s="20">
        <v>24</v>
      </c>
      <c r="L67" s="20"/>
      <c r="M67" s="26"/>
      <c r="N67" s="26"/>
      <c r="O67" s="26"/>
      <c r="P67" s="27"/>
      <c r="Q67" s="25"/>
      <c r="R67" s="26"/>
      <c r="S67" s="26"/>
      <c r="T67" s="33"/>
      <c r="U67" s="34"/>
      <c r="V67" s="30">
        <f t="shared" si="1"/>
        <v>24</v>
      </c>
    </row>
    <row r="68" spans="1:22" ht="53.15" customHeight="1">
      <c r="A68" s="20"/>
      <c r="B68" s="21" t="s">
        <v>165</v>
      </c>
      <c r="C68" s="22" t="s">
        <v>163</v>
      </c>
      <c r="D68" s="21" t="s">
        <v>41</v>
      </c>
      <c r="E68" s="21" t="s">
        <v>166</v>
      </c>
      <c r="F68" s="24" t="s">
        <v>29</v>
      </c>
      <c r="G68" s="21" t="s">
        <v>30</v>
      </c>
      <c r="H68" s="21" t="s">
        <v>31</v>
      </c>
      <c r="I68" s="24">
        <v>150</v>
      </c>
      <c r="J68" s="32"/>
      <c r="K68" s="20"/>
      <c r="L68" s="20"/>
      <c r="M68" s="26"/>
      <c r="N68" s="26"/>
      <c r="O68" s="26"/>
      <c r="P68" s="27"/>
      <c r="Q68" s="25"/>
      <c r="R68" s="26"/>
      <c r="S68" s="26"/>
      <c r="T68" s="33"/>
      <c r="U68" s="34"/>
      <c r="V68" s="30">
        <f t="shared" si="1"/>
        <v>0</v>
      </c>
    </row>
    <row r="69" spans="1:22" ht="53.15" customHeight="1">
      <c r="A69" s="20"/>
      <c r="B69" s="21" t="s">
        <v>167</v>
      </c>
      <c r="C69" s="22" t="s">
        <v>163</v>
      </c>
      <c r="D69" s="21" t="s">
        <v>42</v>
      </c>
      <c r="E69" s="21" t="s">
        <v>168</v>
      </c>
      <c r="F69" s="31" t="s">
        <v>35</v>
      </c>
      <c r="G69" s="21" t="s">
        <v>30</v>
      </c>
      <c r="H69" s="21" t="s">
        <v>31</v>
      </c>
      <c r="I69" s="24">
        <v>150</v>
      </c>
      <c r="J69" s="25"/>
      <c r="K69" s="26"/>
      <c r="L69" s="26"/>
      <c r="M69" s="26"/>
      <c r="N69" s="26"/>
      <c r="O69" s="26"/>
      <c r="P69" s="35"/>
      <c r="Q69" s="32">
        <v>24</v>
      </c>
      <c r="R69" s="20"/>
      <c r="S69" s="26"/>
      <c r="T69" s="33"/>
      <c r="U69" s="34"/>
      <c r="V69" s="30">
        <f t="shared" si="1"/>
        <v>24</v>
      </c>
    </row>
    <row r="70" spans="1:22" ht="53.15" customHeight="1">
      <c r="A70" s="20"/>
      <c r="B70" s="21" t="s">
        <v>169</v>
      </c>
      <c r="C70" s="22" t="s">
        <v>163</v>
      </c>
      <c r="D70" s="21" t="s">
        <v>42</v>
      </c>
      <c r="E70" s="21" t="s">
        <v>170</v>
      </c>
      <c r="F70" s="24" t="s">
        <v>29</v>
      </c>
      <c r="G70" s="21" t="s">
        <v>30</v>
      </c>
      <c r="H70" s="21" t="s">
        <v>31</v>
      </c>
      <c r="I70" s="24">
        <v>150</v>
      </c>
      <c r="J70" s="25"/>
      <c r="K70" s="26"/>
      <c r="L70" s="26"/>
      <c r="M70" s="26"/>
      <c r="N70" s="26"/>
      <c r="O70" s="26"/>
      <c r="P70" s="35"/>
      <c r="Q70" s="32"/>
      <c r="R70" s="20"/>
      <c r="S70" s="26"/>
      <c r="T70" s="33"/>
      <c r="U70" s="34"/>
      <c r="V70" s="30">
        <f t="shared" si="1"/>
        <v>0</v>
      </c>
    </row>
    <row r="224" spans="2:2">
      <c r="B224" s="36" t="s">
        <v>171</v>
      </c>
    </row>
  </sheetData>
  <autoFilter ref="B4:I70" xr:uid="{4FF161E9-7D24-4846-9FE6-2117CA3B7A8A}"/>
  <mergeCells count="3">
    <mergeCell ref="C2:E2"/>
    <mergeCell ref="J3:O3"/>
    <mergeCell ref="P3:U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A30E-329E-4483-AFC8-C3822C7DBF36}">
  <dimension ref="A1:T18"/>
  <sheetViews>
    <sheetView workbookViewId="0">
      <selection activeCell="W40" sqref="W40"/>
    </sheetView>
  </sheetViews>
  <sheetFormatPr baseColWidth="10" defaultRowHeight="14.5"/>
  <cols>
    <col min="3" max="14" width="6.7265625" customWidth="1"/>
    <col min="15" max="15" width="7.26953125" bestFit="1" customWidth="1"/>
    <col min="16" max="16" width="7" customWidth="1"/>
    <col min="17" max="17" width="7.26953125" bestFit="1" customWidth="1"/>
    <col min="18" max="18" width="7.1796875" customWidth="1"/>
    <col min="19" max="19" width="7.26953125" bestFit="1" customWidth="1"/>
    <col min="20" max="20" width="6.7265625" customWidth="1"/>
  </cols>
  <sheetData>
    <row r="1" spans="1:20" ht="16">
      <c r="A1" s="37" t="s">
        <v>172</v>
      </c>
    </row>
    <row r="3" spans="1:20">
      <c r="B3" s="38" t="s">
        <v>173</v>
      </c>
      <c r="C3" s="38" t="s">
        <v>174</v>
      </c>
      <c r="D3" s="38">
        <v>6</v>
      </c>
      <c r="E3" s="38" t="s">
        <v>175</v>
      </c>
      <c r="F3" s="38">
        <v>7</v>
      </c>
      <c r="G3" s="38" t="s">
        <v>176</v>
      </c>
      <c r="H3" s="38">
        <v>8</v>
      </c>
      <c r="I3" s="38" t="s">
        <v>177</v>
      </c>
      <c r="J3" s="38">
        <v>9</v>
      </c>
      <c r="K3" s="38" t="s">
        <v>178</v>
      </c>
      <c r="L3" s="38">
        <v>10</v>
      </c>
      <c r="M3" s="38" t="s">
        <v>179</v>
      </c>
      <c r="N3" s="38">
        <v>11</v>
      </c>
      <c r="O3" s="38" t="s">
        <v>180</v>
      </c>
      <c r="P3" s="38">
        <v>12</v>
      </c>
      <c r="Q3" s="38" t="s">
        <v>181</v>
      </c>
      <c r="R3" s="39"/>
    </row>
    <row r="4" spans="1:20">
      <c r="A4" s="40" t="s">
        <v>182</v>
      </c>
      <c r="B4" s="41" t="s">
        <v>12</v>
      </c>
      <c r="C4" s="42"/>
      <c r="D4" s="42" t="str">
        <f>""</f>
        <v/>
      </c>
      <c r="E4" s="42" t="str">
        <f>""</f>
        <v/>
      </c>
      <c r="F4" s="42" t="str">
        <f>""</f>
        <v/>
      </c>
      <c r="G4" s="42">
        <v>1</v>
      </c>
      <c r="H4" s="42">
        <v>1</v>
      </c>
      <c r="I4" s="42">
        <v>2</v>
      </c>
      <c r="J4" s="42">
        <v>3</v>
      </c>
      <c r="K4" s="42">
        <v>2</v>
      </c>
      <c r="L4" s="42">
        <v>1</v>
      </c>
      <c r="M4" s="42">
        <v>1</v>
      </c>
      <c r="N4" s="42">
        <v>1</v>
      </c>
      <c r="O4" s="42" t="str">
        <f>""</f>
        <v/>
      </c>
      <c r="P4" s="42" t="str">
        <f>""</f>
        <v/>
      </c>
      <c r="Q4" s="42">
        <f>SUM(D4:P4)</f>
        <v>12</v>
      </c>
      <c r="R4" s="43"/>
    </row>
    <row r="5" spans="1:20">
      <c r="A5" s="40"/>
      <c r="B5" s="41" t="s">
        <v>13</v>
      </c>
      <c r="C5" s="44"/>
      <c r="D5" s="44" t="str">
        <f>""</f>
        <v/>
      </c>
      <c r="E5" s="44" t="str">
        <f>""</f>
        <v/>
      </c>
      <c r="F5" s="44" t="str">
        <f>""</f>
        <v/>
      </c>
      <c r="G5" s="44" t="str">
        <f>""</f>
        <v/>
      </c>
      <c r="H5" s="44" t="str">
        <f>""</f>
        <v/>
      </c>
      <c r="I5" s="44">
        <v>1</v>
      </c>
      <c r="J5" s="44">
        <v>1</v>
      </c>
      <c r="K5" s="44">
        <v>2</v>
      </c>
      <c r="L5" s="44">
        <v>2</v>
      </c>
      <c r="M5" s="44">
        <v>2</v>
      </c>
      <c r="N5" s="44">
        <v>2</v>
      </c>
      <c r="O5" s="44">
        <v>1</v>
      </c>
      <c r="P5" s="44">
        <v>1</v>
      </c>
      <c r="Q5" s="42">
        <f>SUM(D5:P5)</f>
        <v>12</v>
      </c>
      <c r="R5" s="43"/>
    </row>
    <row r="6" spans="1:20">
      <c r="A6" s="40"/>
      <c r="B6" s="41" t="s">
        <v>14</v>
      </c>
      <c r="C6" s="44"/>
      <c r="D6" s="44"/>
      <c r="E6" s="45">
        <v>1</v>
      </c>
      <c r="F6" s="45">
        <v>1</v>
      </c>
      <c r="G6" s="45">
        <v>2</v>
      </c>
      <c r="H6" s="45">
        <v>2</v>
      </c>
      <c r="I6" s="45">
        <v>2</v>
      </c>
      <c r="J6" s="45">
        <v>2</v>
      </c>
      <c r="K6" s="45">
        <v>1</v>
      </c>
      <c r="L6" s="45">
        <v>1</v>
      </c>
      <c r="M6" s="44"/>
      <c r="N6" s="44"/>
      <c r="O6" s="44"/>
      <c r="P6" s="44"/>
      <c r="Q6" s="42">
        <v>12</v>
      </c>
      <c r="R6" s="43"/>
    </row>
    <row r="7" spans="1:20">
      <c r="A7" s="46" t="s">
        <v>183</v>
      </c>
      <c r="B7" s="47" t="s">
        <v>19</v>
      </c>
      <c r="C7" s="44"/>
      <c r="D7" s="44"/>
      <c r="E7" s="44">
        <v>1</v>
      </c>
      <c r="F7" s="44">
        <v>1</v>
      </c>
      <c r="G7" s="44">
        <v>1</v>
      </c>
      <c r="H7" s="44">
        <v>2</v>
      </c>
      <c r="I7" s="44">
        <v>3</v>
      </c>
      <c r="J7" s="44">
        <v>2</v>
      </c>
      <c r="K7" s="44">
        <v>1</v>
      </c>
      <c r="L7" s="44">
        <v>1</v>
      </c>
      <c r="M7" s="44"/>
      <c r="N7" s="44"/>
      <c r="O7" s="44"/>
      <c r="P7" s="44"/>
      <c r="Q7" s="42">
        <f>SUM(D7:P7)</f>
        <v>12</v>
      </c>
      <c r="R7" s="43"/>
    </row>
    <row r="8" spans="1:20">
      <c r="A8" s="46"/>
      <c r="B8" s="47" t="s">
        <v>18</v>
      </c>
      <c r="C8" s="42"/>
      <c r="D8" s="42">
        <v>1</v>
      </c>
      <c r="E8" s="42">
        <v>2</v>
      </c>
      <c r="F8" s="42">
        <v>2</v>
      </c>
      <c r="G8" s="42">
        <v>3</v>
      </c>
      <c r="H8" s="42">
        <v>2</v>
      </c>
      <c r="I8" s="42">
        <v>1</v>
      </c>
      <c r="J8" s="42">
        <v>1</v>
      </c>
      <c r="K8" s="42" t="str">
        <f>""</f>
        <v/>
      </c>
      <c r="L8" s="42" t="str">
        <f>""</f>
        <v/>
      </c>
      <c r="M8" s="42" t="str">
        <f>""</f>
        <v/>
      </c>
      <c r="N8" s="42" t="str">
        <f>""</f>
        <v/>
      </c>
      <c r="O8" s="42" t="str">
        <f>""</f>
        <v/>
      </c>
      <c r="P8" s="42" t="str">
        <f>""</f>
        <v/>
      </c>
      <c r="Q8" s="42">
        <f>SUM(D8:P8)</f>
        <v>12</v>
      </c>
      <c r="R8" s="43"/>
    </row>
    <row r="9" spans="1:20">
      <c r="A9" s="46"/>
      <c r="B9" s="47" t="s">
        <v>20</v>
      </c>
      <c r="C9" s="48">
        <v>1</v>
      </c>
      <c r="D9" s="48">
        <v>2</v>
      </c>
      <c r="E9" s="48">
        <v>2</v>
      </c>
      <c r="F9" s="48">
        <v>3</v>
      </c>
      <c r="G9" s="48">
        <v>2</v>
      </c>
      <c r="H9" s="48">
        <v>1</v>
      </c>
      <c r="I9" s="48">
        <v>1</v>
      </c>
      <c r="J9" s="42"/>
      <c r="K9" s="42"/>
      <c r="L9" s="42"/>
      <c r="M9" s="42"/>
      <c r="N9" s="42"/>
      <c r="O9" s="42"/>
      <c r="P9" s="42"/>
      <c r="Q9" s="42">
        <v>12</v>
      </c>
      <c r="R9" s="43"/>
    </row>
    <row r="11" spans="1:20">
      <c r="A11" s="49" t="s">
        <v>27</v>
      </c>
    </row>
    <row r="12" spans="1:20">
      <c r="B12" s="50" t="s">
        <v>173</v>
      </c>
      <c r="C12" s="50" t="s">
        <v>184</v>
      </c>
      <c r="D12" s="50" t="s">
        <v>185</v>
      </c>
      <c r="E12" s="50" t="s">
        <v>186</v>
      </c>
      <c r="F12" s="50" t="s">
        <v>187</v>
      </c>
      <c r="G12" s="50" t="s">
        <v>188</v>
      </c>
      <c r="H12" s="50" t="s">
        <v>189</v>
      </c>
      <c r="I12" s="50" t="s">
        <v>190</v>
      </c>
      <c r="J12" s="50" t="s">
        <v>191</v>
      </c>
      <c r="K12" s="50" t="s">
        <v>192</v>
      </c>
      <c r="L12" s="50" t="s">
        <v>193</v>
      </c>
      <c r="M12" s="50" t="s">
        <v>194</v>
      </c>
      <c r="N12" s="50" t="s">
        <v>195</v>
      </c>
      <c r="O12" s="50" t="s">
        <v>196</v>
      </c>
      <c r="P12" s="50" t="s">
        <v>197</v>
      </c>
      <c r="Q12" s="50" t="s">
        <v>198</v>
      </c>
      <c r="R12" s="50" t="s">
        <v>199</v>
      </c>
      <c r="S12" s="50" t="s">
        <v>200</v>
      </c>
      <c r="T12" s="50" t="s">
        <v>181</v>
      </c>
    </row>
    <row r="13" spans="1:20">
      <c r="A13" s="40" t="s">
        <v>182</v>
      </c>
      <c r="B13" s="41" t="s">
        <v>15</v>
      </c>
      <c r="C13" s="42"/>
      <c r="D13" s="51"/>
      <c r="E13" s="51"/>
      <c r="F13" s="51"/>
      <c r="G13" s="51"/>
      <c r="H13" s="51"/>
      <c r="I13" s="51"/>
      <c r="J13" s="51"/>
      <c r="K13" s="51">
        <v>2</v>
      </c>
      <c r="L13" s="51">
        <v>2</v>
      </c>
      <c r="M13" s="51">
        <v>2</v>
      </c>
      <c r="N13" s="51">
        <v>2</v>
      </c>
      <c r="O13" s="51">
        <v>2</v>
      </c>
      <c r="P13" s="52"/>
      <c r="Q13" s="51">
        <v>2</v>
      </c>
      <c r="R13" s="52"/>
      <c r="S13" s="52"/>
      <c r="T13" s="51">
        <v>12</v>
      </c>
    </row>
    <row r="14" spans="1:20">
      <c r="A14" s="40"/>
      <c r="B14" s="41" t="s">
        <v>16</v>
      </c>
      <c r="C14" s="44"/>
      <c r="D14" s="51"/>
      <c r="E14" s="51"/>
      <c r="F14" s="51"/>
      <c r="G14" s="51"/>
      <c r="H14" s="51"/>
      <c r="I14" s="51"/>
      <c r="J14" s="51"/>
      <c r="K14" s="51"/>
      <c r="L14" s="51"/>
      <c r="M14" s="51">
        <v>2</v>
      </c>
      <c r="N14" s="51">
        <v>2</v>
      </c>
      <c r="O14" s="51">
        <v>2</v>
      </c>
      <c r="P14" s="51">
        <v>2</v>
      </c>
      <c r="Q14" s="51">
        <v>2</v>
      </c>
      <c r="R14" s="52"/>
      <c r="S14" s="51">
        <v>2</v>
      </c>
      <c r="T14" s="51">
        <v>12</v>
      </c>
    </row>
    <row r="15" spans="1:20">
      <c r="A15" s="40"/>
      <c r="B15" s="41" t="s">
        <v>17</v>
      </c>
      <c r="C15" s="44"/>
      <c r="D15" s="51"/>
      <c r="E15" s="51"/>
      <c r="F15" s="51"/>
      <c r="G15" s="51"/>
      <c r="H15" s="51"/>
      <c r="I15" s="51"/>
      <c r="J15" s="53">
        <v>2</v>
      </c>
      <c r="K15" s="53">
        <v>2</v>
      </c>
      <c r="L15" s="53">
        <v>2</v>
      </c>
      <c r="M15" s="53">
        <v>2</v>
      </c>
      <c r="N15" s="53">
        <v>2</v>
      </c>
      <c r="O15" s="53">
        <v>2</v>
      </c>
      <c r="P15" s="51"/>
      <c r="Q15" s="51"/>
      <c r="R15" s="51"/>
      <c r="S15" s="51"/>
      <c r="T15" s="51">
        <v>12</v>
      </c>
    </row>
    <row r="16" spans="1:20">
      <c r="A16" s="46" t="s">
        <v>183</v>
      </c>
      <c r="B16" s="54" t="s">
        <v>21</v>
      </c>
      <c r="C16" s="44"/>
      <c r="D16" s="51"/>
      <c r="E16" s="51">
        <v>2</v>
      </c>
      <c r="F16" s="51">
        <v>2</v>
      </c>
      <c r="G16" s="51">
        <v>2</v>
      </c>
      <c r="H16" s="51">
        <v>2</v>
      </c>
      <c r="I16" s="51">
        <v>2</v>
      </c>
      <c r="J16" s="51">
        <v>2</v>
      </c>
      <c r="K16" s="51"/>
      <c r="L16" s="51"/>
      <c r="M16" s="51"/>
      <c r="N16" s="51"/>
      <c r="O16" s="51"/>
      <c r="P16" s="51"/>
      <c r="Q16" s="51"/>
      <c r="R16" s="51"/>
      <c r="S16" s="51"/>
      <c r="T16" s="51">
        <v>12</v>
      </c>
    </row>
    <row r="17" spans="1:20">
      <c r="A17" s="46"/>
      <c r="B17" s="54" t="s">
        <v>22</v>
      </c>
      <c r="C17" s="42"/>
      <c r="D17" s="51"/>
      <c r="E17" s="51"/>
      <c r="F17" s="51"/>
      <c r="G17" s="51">
        <v>2</v>
      </c>
      <c r="H17" s="51">
        <v>2</v>
      </c>
      <c r="I17" s="51">
        <v>2</v>
      </c>
      <c r="J17" s="51">
        <v>2</v>
      </c>
      <c r="K17" s="51">
        <v>2</v>
      </c>
      <c r="L17" s="51">
        <v>2</v>
      </c>
      <c r="M17" s="51"/>
      <c r="N17" s="51"/>
      <c r="O17" s="51"/>
      <c r="P17" s="51"/>
      <c r="Q17" s="51"/>
      <c r="R17" s="51"/>
      <c r="S17" s="51"/>
      <c r="T17" s="51">
        <v>12</v>
      </c>
    </row>
    <row r="18" spans="1:20">
      <c r="A18" s="46"/>
      <c r="B18" s="54" t="s">
        <v>23</v>
      </c>
      <c r="C18" s="48">
        <v>2</v>
      </c>
      <c r="D18" s="53">
        <v>2</v>
      </c>
      <c r="E18" s="53">
        <v>2</v>
      </c>
      <c r="F18" s="53">
        <v>2</v>
      </c>
      <c r="G18" s="53">
        <v>2</v>
      </c>
      <c r="H18" s="53">
        <v>2</v>
      </c>
      <c r="I18" s="53"/>
      <c r="J18" s="51"/>
      <c r="K18" s="51"/>
      <c r="L18" s="51"/>
      <c r="M18" s="55"/>
      <c r="N18" s="55"/>
      <c r="O18" s="55"/>
      <c r="P18" s="55"/>
      <c r="Q18" s="55"/>
      <c r="R18" s="55"/>
      <c r="S18" s="55"/>
      <c r="T18" s="51">
        <v>12</v>
      </c>
    </row>
  </sheetData>
  <mergeCells count="4">
    <mergeCell ref="A4:A6"/>
    <mergeCell ref="A7:A9"/>
    <mergeCell ref="A13:A15"/>
    <mergeCell ref="A16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FTWR F26</vt:lpstr>
      <vt:lpstr>Curvas RTW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Peraza</dc:creator>
  <cp:lastModifiedBy>Jorge Peraza</cp:lastModifiedBy>
  <dcterms:created xsi:type="dcterms:W3CDTF">2026-07-07T22:25:43Z</dcterms:created>
  <dcterms:modified xsi:type="dcterms:W3CDTF">2026-07-07T22:34:20Z</dcterms:modified>
</cp:coreProperties>
</file>