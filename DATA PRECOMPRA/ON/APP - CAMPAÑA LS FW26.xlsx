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PTY/Intención #2/"/>
    </mc:Choice>
  </mc:AlternateContent>
  <xr:revisionPtr revIDLastSave="13" documentId="13_ncr:b_{CEF6B2A1-8FDD-489A-BFF0-3EDF2F1B7538}" xr6:coauthVersionLast="47" xr6:coauthVersionMax="47" xr10:uidLastSave="{69E06F85-A2D1-4BED-A794-6832B69D654C}"/>
  <bookViews>
    <workbookView xWindow="-120" yWindow="-120" windowWidth="20730" windowHeight="11040" xr2:uid="{922E460B-CBB2-4364-84BF-4D4F72FEF834}"/>
  </bookViews>
  <sheets>
    <sheet name="APP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2" i="1"/>
  <c r="C2" i="1"/>
  <c r="G2" i="1"/>
  <c r="Z2" i="1"/>
  <c r="C3" i="1"/>
  <c r="G3" i="1"/>
  <c r="Z3" i="1"/>
  <c r="C4" i="1"/>
  <c r="G4" i="1"/>
  <c r="Z4" i="1"/>
  <c r="C5" i="1"/>
  <c r="G5" i="1"/>
  <c r="Z5" i="1"/>
  <c r="C6" i="1"/>
  <c r="G6" i="1"/>
  <c r="Z6" i="1"/>
  <c r="C7" i="1"/>
  <c r="G7" i="1"/>
  <c r="Z7" i="1"/>
  <c r="C8" i="1"/>
  <c r="G8" i="1"/>
  <c r="Z8" i="1"/>
  <c r="C9" i="1"/>
  <c r="G9" i="1"/>
  <c r="Z9" i="1"/>
  <c r="C10" i="1"/>
  <c r="G10" i="1"/>
  <c r="Z10" i="1"/>
  <c r="C11" i="1"/>
  <c r="G11" i="1"/>
  <c r="Z11" i="1"/>
  <c r="C12" i="1"/>
  <c r="G12" i="1"/>
  <c r="Z12" i="1"/>
  <c r="C13" i="1"/>
  <c r="G13" i="1"/>
  <c r="Z13" i="1"/>
  <c r="C14" i="1"/>
  <c r="G14" i="1"/>
  <c r="Z14" i="1"/>
  <c r="C15" i="1"/>
  <c r="G15" i="1"/>
  <c r="Z15" i="1"/>
  <c r="C16" i="1"/>
  <c r="G16" i="1"/>
  <c r="Z16" i="1"/>
  <c r="C17" i="1"/>
  <c r="G17" i="1"/>
  <c r="Z17" i="1"/>
</calcChain>
</file>

<file path=xl/sharedStrings.xml><?xml version="1.0" encoding="utf-8"?>
<sst xmlns="http://schemas.openxmlformats.org/spreadsheetml/2006/main" count="371" uniqueCount="75">
  <si>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</si>
  <si>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</si>
  <si>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</si>
  <si>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</si>
  <si>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</si>
  <si>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</si>
  <si>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</si>
  <si>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</si>
  <si>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</si>
  <si>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</si>
  <si>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</si>
  <si>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</si>
  <si>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</si>
  <si>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</si>
  <si>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</si>
  <si>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</si>
  <si>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</si>
  <si>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</si>
  <si>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</si>
  <si>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</si>
  <si>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</si>
  <si>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</si>
  <si>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</si>
  <si>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</si>
  <si>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</si>
  <si>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</si>
  <si>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</si>
  <si>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</si>
  <si>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</si>
  <si>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</si>
  <si>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</si>
  <si>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</si>
  <si>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</si>
  <si>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</si>
  <si>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</si>
  <si>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22/08/2026</t>
  </si>
  <si>
    <t>OR-SFW26086</t>
  </si>
  <si>
    <t>32-333</t>
  </si>
  <si>
    <t>RUN THE WORLD INC.</t>
  </si>
  <si>
    <t>Running Balboa Multiplaza</t>
  </si>
  <si>
    <t>S</t>
  </si>
  <si>
    <t>NULO</t>
  </si>
  <si>
    <t>1ME10232993</t>
  </si>
  <si>
    <t>PERFORMANCE-T 2 M</t>
  </si>
  <si>
    <t>WHITE | SILVER</t>
  </si>
  <si>
    <t>90% POLIESTER RECICLADO 10% ELASTANO</t>
  </si>
  <si>
    <t>6110.20.00.00.30</t>
  </si>
  <si>
    <t>HOMBRE (MENS)</t>
  </si>
  <si>
    <t>TEE</t>
  </si>
  <si>
    <t>SUETER</t>
  </si>
  <si>
    <t>FW26</t>
  </si>
  <si>
    <t>VN</t>
  </si>
  <si>
    <t>L</t>
  </si>
  <si>
    <t>EXCLUSIVE</t>
  </si>
  <si>
    <t>M</t>
  </si>
  <si>
    <t>1MF10090553</t>
  </si>
  <si>
    <t>5 PERFORMANCE 2/1 SHORTS 1 M</t>
  </si>
  <si>
    <t>BLACK</t>
  </si>
  <si>
    <t>86% POLIAMIDA RECICLADA 14% ELASTANO</t>
  </si>
  <si>
    <t>6203.43.19.00.00</t>
  </si>
  <si>
    <t>SHORTS</t>
  </si>
  <si>
    <t>PANTALON CORTO</t>
  </si>
  <si>
    <t>1WE10302993</t>
  </si>
  <si>
    <t>PERFORMANCE TANK 1 W</t>
  </si>
  <si>
    <t>MUJER (WOMENS)</t>
  </si>
  <si>
    <t>XS</t>
  </si>
  <si>
    <t>1WF10060069</t>
  </si>
  <si>
    <t>CORE BRA 1 W</t>
  </si>
  <si>
    <t>WHITE</t>
  </si>
  <si>
    <t>69% POLIAMIDA RECICLADA 31% ELASTANO</t>
  </si>
  <si>
    <t>6204.63.19.00.00</t>
  </si>
  <si>
    <t>BRA</t>
  </si>
  <si>
    <t>1WF10120553</t>
  </si>
  <si>
    <t>3 PERFORMANCE 2/1 SHORTS 1 W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</si>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</sst>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RECIOS%20SUGERIDOS/2026/FW26/Precios%20Sugeridos%20%20%20FTW%20&amp;%20APP%20&amp;%20ACC%20FW26%20-%20Ventas.xlsx" TargetMode="External"/><Relationship Id="rId2" Type="http://schemas.openxmlformats.org/officeDocument/2006/relationships/externalLinkPath" Target="https://regencybrands-my.sharepoint.com/personal/christian_rivera_sisa_com/Documents/Escritorio/On/PRECIOS%20SUGERIDOS/2026/FW26/Precios%20Sugeridos%20%20%20FTW%20&amp;%20APP%20&amp;%20ACC%20FW26%20-%20Ventas.xlsx" TargetMode="External"/><Relationship Id="rId1" Type="http://schemas.openxmlformats.org/officeDocument/2006/relationships/externalLinkPath" Target="/personal/christian_rivera_sisa_com/Documents/Escritorio/On/PRECIOS%20SUGERIDOS/2026/FW26/Precios%20Sugeridos%20%20%20FTW%20&amp;%20APP%20&amp;%20ACC%20FW26%20-%20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LA-FTW"/>
      <sheetName val="Hoja1"/>
      <sheetName val="SLA-APP"/>
      <sheetName val="Hoja2"/>
      <sheetName val="SLA-ACC"/>
      <sheetName val="Sheet1"/>
      <sheetName val="BUSCARV"/>
      <sheetName val="FWT"/>
      <sheetName val="ROPA"/>
      <sheetName val="ACC"/>
    </sheetNames>
    <sheetDataSet>
      <sheetData sheetId="0"/>
      <sheetData sheetId="1"/>
      <sheetData sheetId="2"/>
      <sheetData sheetId="3">
        <row r="2">
          <cell r="B2" t="str">
            <v xml:space="preserve">Panama </v>
          </cell>
        </row>
        <row r="3">
          <cell r="A3" t="str">
            <v>Item Code</v>
          </cell>
          <cell r="B3" t="str">
            <v>USD</v>
          </cell>
        </row>
        <row r="4">
          <cell r="A4" t="str">
            <v>1ME10030209</v>
          </cell>
          <cell r="B4">
            <v>135.94999999999999</v>
          </cell>
        </row>
        <row r="5">
          <cell r="A5" t="str">
            <v>1ME10030553</v>
          </cell>
          <cell r="B5">
            <v>135.94999999999999</v>
          </cell>
        </row>
        <row r="6">
          <cell r="A6" t="str">
            <v>1ME10030603</v>
          </cell>
          <cell r="B6">
            <v>135.94999999999999</v>
          </cell>
        </row>
        <row r="7">
          <cell r="A7" t="str">
            <v>1ME10031756</v>
          </cell>
          <cell r="B7">
            <v>135.94999999999999</v>
          </cell>
        </row>
        <row r="8">
          <cell r="A8" t="str">
            <v>1ME10040553</v>
          </cell>
          <cell r="B8">
            <v>105.95</v>
          </cell>
        </row>
        <row r="9">
          <cell r="A9" t="str">
            <v>1ME10044974</v>
          </cell>
          <cell r="B9">
            <v>105.95</v>
          </cell>
        </row>
        <row r="10">
          <cell r="A10" t="str">
            <v>1ME10050069</v>
          </cell>
          <cell r="B10">
            <v>55.95</v>
          </cell>
        </row>
        <row r="11">
          <cell r="A11" t="str">
            <v>1ME10050209</v>
          </cell>
          <cell r="B11">
            <v>55.95</v>
          </cell>
        </row>
        <row r="12">
          <cell r="A12" t="str">
            <v>1ME10050553</v>
          </cell>
          <cell r="B12">
            <v>55.95</v>
          </cell>
        </row>
        <row r="13">
          <cell r="A13" t="str">
            <v>1ME10051756</v>
          </cell>
          <cell r="B13">
            <v>55.95</v>
          </cell>
        </row>
        <row r="14">
          <cell r="A14" t="str">
            <v>1ME10220106</v>
          </cell>
          <cell r="B14">
            <v>75.95</v>
          </cell>
        </row>
        <row r="15">
          <cell r="A15" t="str">
            <v>1ME10222993</v>
          </cell>
          <cell r="B15">
            <v>75.95</v>
          </cell>
        </row>
        <row r="16">
          <cell r="A16" t="str">
            <v>1ME10230106</v>
          </cell>
          <cell r="B16">
            <v>85.95</v>
          </cell>
        </row>
        <row r="17">
          <cell r="A17" t="str">
            <v>1ME10232993</v>
          </cell>
          <cell r="B17">
            <v>85.95</v>
          </cell>
        </row>
        <row r="18">
          <cell r="A18" t="str">
            <v>1ME10234953</v>
          </cell>
          <cell r="B18">
            <v>85.95</v>
          </cell>
        </row>
        <row r="19">
          <cell r="A19" t="str">
            <v>1ME10234958</v>
          </cell>
          <cell r="B19">
            <v>85.95</v>
          </cell>
        </row>
        <row r="20">
          <cell r="A20" t="str">
            <v>1ME10234984</v>
          </cell>
          <cell r="B20">
            <v>85.95</v>
          </cell>
        </row>
        <row r="21">
          <cell r="A21" t="str">
            <v>1ME10235018</v>
          </cell>
          <cell r="B21">
            <v>85.95</v>
          </cell>
        </row>
        <row r="22">
          <cell r="A22" t="str">
            <v>1ME10430069</v>
          </cell>
          <cell r="B22">
            <v>65.95</v>
          </cell>
        </row>
        <row r="23">
          <cell r="A23" t="str">
            <v>1ME10430553</v>
          </cell>
          <cell r="B23">
            <v>65.95</v>
          </cell>
        </row>
        <row r="24">
          <cell r="A24" t="str">
            <v>1ME10431756</v>
          </cell>
          <cell r="B24">
            <v>65.95</v>
          </cell>
        </row>
        <row r="25">
          <cell r="A25" t="str">
            <v>1ME10434974</v>
          </cell>
          <cell r="B25">
            <v>65.95</v>
          </cell>
        </row>
        <row r="26">
          <cell r="A26" t="str">
            <v>1MF10090553</v>
          </cell>
          <cell r="B26">
            <v>85.95</v>
          </cell>
        </row>
        <row r="27">
          <cell r="A27" t="str">
            <v>1MF10094958</v>
          </cell>
          <cell r="B27">
            <v>85.95</v>
          </cell>
        </row>
        <row r="28">
          <cell r="A28" t="str">
            <v>1MF10100255</v>
          </cell>
          <cell r="B28">
            <v>85.95</v>
          </cell>
        </row>
        <row r="29">
          <cell r="A29" t="str">
            <v>1MF10100553</v>
          </cell>
          <cell r="B29">
            <v>85.95</v>
          </cell>
        </row>
        <row r="30">
          <cell r="A30" t="str">
            <v>1MF10105005</v>
          </cell>
          <cell r="B30">
            <v>85.95</v>
          </cell>
        </row>
        <row r="31">
          <cell r="A31" t="str">
            <v>1MF10120553</v>
          </cell>
          <cell r="B31">
            <v>65.95</v>
          </cell>
        </row>
        <row r="32">
          <cell r="A32" t="str">
            <v>1MF10121573</v>
          </cell>
          <cell r="B32">
            <v>65.95</v>
          </cell>
        </row>
        <row r="33">
          <cell r="A33" t="str">
            <v>1MF10125005</v>
          </cell>
          <cell r="B33">
            <v>65.95</v>
          </cell>
        </row>
        <row r="34">
          <cell r="A34" t="str">
            <v>1MF10240069</v>
          </cell>
          <cell r="B34">
            <v>65.95</v>
          </cell>
        </row>
        <row r="35">
          <cell r="A35" t="str">
            <v>1MF10240553</v>
          </cell>
          <cell r="B35">
            <v>65.95</v>
          </cell>
        </row>
        <row r="36">
          <cell r="A36" t="str">
            <v>1MF10244974</v>
          </cell>
          <cell r="B36">
            <v>65.95</v>
          </cell>
        </row>
        <row r="37">
          <cell r="A37" t="str">
            <v>1MF10260553</v>
          </cell>
          <cell r="B37">
            <v>59.95</v>
          </cell>
        </row>
        <row r="38">
          <cell r="A38" t="str">
            <v>1MF10740553</v>
          </cell>
          <cell r="B38">
            <v>65.95</v>
          </cell>
        </row>
        <row r="39">
          <cell r="A39" t="str">
            <v>1MF10745005</v>
          </cell>
          <cell r="B39">
            <v>65.95</v>
          </cell>
        </row>
        <row r="40">
          <cell r="A40" t="str">
            <v>1MF10750553</v>
          </cell>
          <cell r="B40">
            <v>85.95</v>
          </cell>
        </row>
        <row r="41">
          <cell r="A41" t="str">
            <v>1MF11190553</v>
          </cell>
          <cell r="B41">
            <v>85.95</v>
          </cell>
        </row>
        <row r="42">
          <cell r="A42" t="str">
            <v>1MF11194940</v>
          </cell>
          <cell r="B42">
            <v>85.95</v>
          </cell>
        </row>
        <row r="43">
          <cell r="A43" t="str">
            <v>1MF30290255</v>
          </cell>
          <cell r="B43">
            <v>155.94999999999999</v>
          </cell>
        </row>
        <row r="44">
          <cell r="A44" t="str">
            <v>1MF30290553</v>
          </cell>
          <cell r="B44">
            <v>155.94999999999999</v>
          </cell>
        </row>
        <row r="45">
          <cell r="A45" t="str">
            <v>1MF30290603</v>
          </cell>
          <cell r="B45">
            <v>155.94999999999999</v>
          </cell>
        </row>
        <row r="46">
          <cell r="A46" t="str">
            <v>1MF30294966</v>
          </cell>
          <cell r="B46">
            <v>155.94999999999999</v>
          </cell>
        </row>
        <row r="47">
          <cell r="A47" t="str">
            <v>1MF30300553</v>
          </cell>
          <cell r="B47">
            <v>175.95</v>
          </cell>
        </row>
        <row r="48">
          <cell r="A48" t="str">
            <v>1MF30320255</v>
          </cell>
          <cell r="B48">
            <v>125.95</v>
          </cell>
        </row>
        <row r="49">
          <cell r="A49" t="str">
            <v>1MF30320553</v>
          </cell>
          <cell r="B49">
            <v>125.95</v>
          </cell>
        </row>
        <row r="50">
          <cell r="A50" t="str">
            <v>1MF30390561</v>
          </cell>
          <cell r="B50">
            <v>115.95</v>
          </cell>
        </row>
        <row r="51">
          <cell r="A51" t="str">
            <v>1MG10180069</v>
          </cell>
          <cell r="B51">
            <v>85.95</v>
          </cell>
        </row>
        <row r="52">
          <cell r="A52" t="str">
            <v>1MG10180553</v>
          </cell>
          <cell r="B52">
            <v>85.95</v>
          </cell>
        </row>
        <row r="53">
          <cell r="A53" t="str">
            <v>1MG10190069</v>
          </cell>
          <cell r="B53">
            <v>85.95</v>
          </cell>
        </row>
        <row r="54">
          <cell r="A54" t="str">
            <v>1MG10190553</v>
          </cell>
          <cell r="B54">
            <v>85.95</v>
          </cell>
        </row>
        <row r="55">
          <cell r="A55" t="str">
            <v>1MG10220069</v>
          </cell>
          <cell r="B55">
            <v>85.95</v>
          </cell>
        </row>
        <row r="56">
          <cell r="A56" t="str">
            <v>1MG10220553</v>
          </cell>
          <cell r="B56">
            <v>85.95</v>
          </cell>
        </row>
        <row r="57">
          <cell r="A57" t="str">
            <v>1MG10710069</v>
          </cell>
          <cell r="B57">
            <v>65.95</v>
          </cell>
        </row>
        <row r="58">
          <cell r="A58" t="str">
            <v>1MG10710553</v>
          </cell>
          <cell r="B58">
            <v>65.95</v>
          </cell>
        </row>
        <row r="59">
          <cell r="A59" t="str">
            <v>1MG10711756</v>
          </cell>
          <cell r="B59">
            <v>65.95</v>
          </cell>
        </row>
        <row r="60">
          <cell r="A60" t="str">
            <v>1MG10714996</v>
          </cell>
          <cell r="B60">
            <v>65.95</v>
          </cell>
        </row>
        <row r="61">
          <cell r="A61" t="str">
            <v>1MG10720553</v>
          </cell>
          <cell r="B61">
            <v>145.94999999999999</v>
          </cell>
        </row>
        <row r="62">
          <cell r="A62" t="str">
            <v>1MG10724996</v>
          </cell>
          <cell r="B62">
            <v>145.94999999999999</v>
          </cell>
        </row>
        <row r="63">
          <cell r="A63" t="str">
            <v>1MG10741756</v>
          </cell>
          <cell r="B63">
            <v>95.95</v>
          </cell>
        </row>
        <row r="64">
          <cell r="A64" t="str">
            <v>1MG10770553</v>
          </cell>
          <cell r="B64">
            <v>125.95</v>
          </cell>
        </row>
        <row r="65">
          <cell r="A65" t="str">
            <v>1MG30260255</v>
          </cell>
          <cell r="B65">
            <v>69.95</v>
          </cell>
        </row>
        <row r="66">
          <cell r="A66" t="str">
            <v>1MG30260553</v>
          </cell>
          <cell r="B66">
            <v>69.95</v>
          </cell>
        </row>
        <row r="67">
          <cell r="A67" t="str">
            <v>1MG30265013</v>
          </cell>
          <cell r="B67">
            <v>69.95</v>
          </cell>
        </row>
        <row r="68">
          <cell r="A68" t="str">
            <v>1MG30270553</v>
          </cell>
          <cell r="B68">
            <v>79.95</v>
          </cell>
        </row>
        <row r="69">
          <cell r="A69" t="str">
            <v>1MG30275013</v>
          </cell>
          <cell r="B69">
            <v>79.95</v>
          </cell>
        </row>
        <row r="70">
          <cell r="A70" t="str">
            <v>1MG30325502</v>
          </cell>
          <cell r="B70">
            <v>85.95</v>
          </cell>
        </row>
        <row r="71">
          <cell r="A71" t="str">
            <v>1MG30325503</v>
          </cell>
          <cell r="B71">
            <v>85.95</v>
          </cell>
        </row>
        <row r="72">
          <cell r="A72" t="str">
            <v>1MG30535502</v>
          </cell>
          <cell r="B72">
            <v>75.95</v>
          </cell>
        </row>
        <row r="73">
          <cell r="A73" t="str">
            <v>1MG30680553</v>
          </cell>
          <cell r="B73">
            <v>125.95</v>
          </cell>
        </row>
        <row r="74">
          <cell r="A74" t="str">
            <v>1MG30684939</v>
          </cell>
          <cell r="B74">
            <v>125.95</v>
          </cell>
        </row>
        <row r="75">
          <cell r="A75" t="str">
            <v>1MG30684989</v>
          </cell>
          <cell r="B75">
            <v>125.95</v>
          </cell>
        </row>
        <row r="76">
          <cell r="A76" t="str">
            <v>1MG30690069</v>
          </cell>
          <cell r="B76">
            <v>135.94999999999999</v>
          </cell>
        </row>
        <row r="77">
          <cell r="A77" t="str">
            <v>1MG30690553</v>
          </cell>
          <cell r="B77">
            <v>135.94999999999999</v>
          </cell>
        </row>
        <row r="78">
          <cell r="A78" t="str">
            <v>1MG30694939</v>
          </cell>
          <cell r="B78">
            <v>135.94999999999999</v>
          </cell>
        </row>
        <row r="79">
          <cell r="A79" t="str">
            <v>1MG30694977</v>
          </cell>
          <cell r="B79">
            <v>135.94999999999999</v>
          </cell>
        </row>
        <row r="80">
          <cell r="A80" t="str">
            <v>1MG31130553</v>
          </cell>
          <cell r="B80">
            <v>59.95</v>
          </cell>
        </row>
        <row r="81">
          <cell r="A81" t="str">
            <v>1MG31275294</v>
          </cell>
          <cell r="B81">
            <v>95.95</v>
          </cell>
        </row>
        <row r="82">
          <cell r="A82" t="str">
            <v>1MG31275470</v>
          </cell>
          <cell r="B82">
            <v>95.95</v>
          </cell>
        </row>
        <row r="83">
          <cell r="A83" t="str">
            <v>1MG31275497</v>
          </cell>
          <cell r="B83">
            <v>95.95</v>
          </cell>
        </row>
        <row r="84">
          <cell r="A84" t="str">
            <v>1WE10040553</v>
          </cell>
          <cell r="B84">
            <v>135.94999999999999</v>
          </cell>
        </row>
        <row r="85">
          <cell r="A85" t="str">
            <v>1WE10044975</v>
          </cell>
          <cell r="B85">
            <v>135.94999999999999</v>
          </cell>
        </row>
        <row r="86">
          <cell r="A86" t="str">
            <v>1WE10044983</v>
          </cell>
          <cell r="B86">
            <v>135.94999999999999</v>
          </cell>
        </row>
        <row r="87">
          <cell r="A87" t="str">
            <v>1WE10050553</v>
          </cell>
          <cell r="B87">
            <v>105.95</v>
          </cell>
        </row>
        <row r="88">
          <cell r="A88" t="str">
            <v>1WE10054975</v>
          </cell>
          <cell r="B88">
            <v>105.95</v>
          </cell>
        </row>
        <row r="89">
          <cell r="A89" t="str">
            <v>1WE10060069</v>
          </cell>
          <cell r="B89">
            <v>55.95</v>
          </cell>
        </row>
        <row r="90">
          <cell r="A90" t="str">
            <v>1WE10060553</v>
          </cell>
          <cell r="B90">
            <v>55.95</v>
          </cell>
        </row>
        <row r="91">
          <cell r="A91" t="str">
            <v>1WE10064983</v>
          </cell>
          <cell r="B91">
            <v>55.95</v>
          </cell>
        </row>
        <row r="92">
          <cell r="A92" t="str">
            <v>1WE10300106</v>
          </cell>
          <cell r="B92">
            <v>75.95</v>
          </cell>
        </row>
        <row r="93">
          <cell r="A93" t="str">
            <v>1WE10302993</v>
          </cell>
          <cell r="B93">
            <v>75.95</v>
          </cell>
        </row>
        <row r="94">
          <cell r="A94" t="str">
            <v>1WE10304958</v>
          </cell>
          <cell r="B94">
            <v>75.95</v>
          </cell>
        </row>
        <row r="95">
          <cell r="A95" t="str">
            <v>1WE10314958</v>
          </cell>
          <cell r="B95">
            <v>85.95</v>
          </cell>
        </row>
        <row r="96">
          <cell r="A96" t="str">
            <v>1WE10314994</v>
          </cell>
          <cell r="B96">
            <v>85.95</v>
          </cell>
        </row>
        <row r="97">
          <cell r="A97" t="str">
            <v>1WE10580069</v>
          </cell>
          <cell r="B97">
            <v>65.95</v>
          </cell>
        </row>
        <row r="98">
          <cell r="A98" t="str">
            <v>1WE10580553</v>
          </cell>
          <cell r="B98">
            <v>65.95</v>
          </cell>
        </row>
        <row r="99">
          <cell r="A99" t="str">
            <v>1WE10581756</v>
          </cell>
          <cell r="B99">
            <v>65.95</v>
          </cell>
        </row>
        <row r="100">
          <cell r="A100" t="str">
            <v>1WE10584975</v>
          </cell>
          <cell r="B100">
            <v>65.95</v>
          </cell>
        </row>
        <row r="101">
          <cell r="A101" t="str">
            <v>1WE10930069</v>
          </cell>
          <cell r="B101">
            <v>55.95</v>
          </cell>
        </row>
        <row r="102">
          <cell r="A102" t="str">
            <v>1WE10930553</v>
          </cell>
          <cell r="B102">
            <v>55.95</v>
          </cell>
        </row>
        <row r="103">
          <cell r="A103" t="str">
            <v>1WE10934983</v>
          </cell>
          <cell r="B103">
            <v>55.95</v>
          </cell>
        </row>
        <row r="104">
          <cell r="A104" t="str">
            <v>1WF10060069</v>
          </cell>
          <cell r="B104">
            <v>55.95</v>
          </cell>
        </row>
        <row r="105">
          <cell r="A105" t="str">
            <v>1WF10060553</v>
          </cell>
          <cell r="B105">
            <v>55.95</v>
          </cell>
        </row>
        <row r="106">
          <cell r="A106" t="str">
            <v>1WF10064975</v>
          </cell>
          <cell r="B106">
            <v>55.95</v>
          </cell>
        </row>
        <row r="107">
          <cell r="A107" t="str">
            <v>1WF10064977</v>
          </cell>
          <cell r="B107">
            <v>55.95</v>
          </cell>
        </row>
        <row r="108">
          <cell r="A108" t="str">
            <v>1WF10064983</v>
          </cell>
          <cell r="B108">
            <v>55.95</v>
          </cell>
        </row>
        <row r="109">
          <cell r="A109" t="str">
            <v>1WF10070255</v>
          </cell>
          <cell r="B109">
            <v>59.95</v>
          </cell>
        </row>
        <row r="110">
          <cell r="A110" t="str">
            <v>1WF10074975</v>
          </cell>
          <cell r="B110">
            <v>59.95</v>
          </cell>
        </row>
        <row r="111">
          <cell r="A111" t="str">
            <v>1WF10074977</v>
          </cell>
          <cell r="B111">
            <v>59.95</v>
          </cell>
        </row>
        <row r="112">
          <cell r="A112" t="str">
            <v>1WF10074983</v>
          </cell>
          <cell r="B112">
            <v>59.95</v>
          </cell>
        </row>
        <row r="113">
          <cell r="A113" t="str">
            <v>1WF10120553</v>
          </cell>
          <cell r="B113">
            <v>85.95</v>
          </cell>
        </row>
        <row r="114">
          <cell r="A114" t="str">
            <v>1WF10124958</v>
          </cell>
          <cell r="B114">
            <v>85.95</v>
          </cell>
        </row>
        <row r="115">
          <cell r="A115" t="str">
            <v>1WF10125419</v>
          </cell>
          <cell r="B115">
            <v>85.95</v>
          </cell>
        </row>
        <row r="116">
          <cell r="A116" t="str">
            <v>1WF10150553</v>
          </cell>
          <cell r="B116">
            <v>65.95</v>
          </cell>
        </row>
        <row r="117">
          <cell r="A117" t="str">
            <v>1WF10151573</v>
          </cell>
          <cell r="B117">
            <v>65.95</v>
          </cell>
        </row>
        <row r="118">
          <cell r="A118" t="str">
            <v>1WF10154975</v>
          </cell>
          <cell r="B118">
            <v>65.95</v>
          </cell>
        </row>
        <row r="119">
          <cell r="A119" t="str">
            <v>1WF10154983</v>
          </cell>
          <cell r="B119">
            <v>65.95</v>
          </cell>
        </row>
        <row r="120">
          <cell r="A120" t="str">
            <v>1WF10210553</v>
          </cell>
          <cell r="B120">
            <v>79.95</v>
          </cell>
        </row>
        <row r="121">
          <cell r="A121" t="str">
            <v>1WF10390069</v>
          </cell>
          <cell r="B121">
            <v>65.95</v>
          </cell>
        </row>
        <row r="122">
          <cell r="A122" t="str">
            <v>1WF10390553</v>
          </cell>
          <cell r="B122">
            <v>65.95</v>
          </cell>
        </row>
        <row r="123">
          <cell r="A123" t="str">
            <v>1WF11050553</v>
          </cell>
          <cell r="B123">
            <v>65.95</v>
          </cell>
        </row>
        <row r="124">
          <cell r="A124" t="str">
            <v>1WF30200553</v>
          </cell>
          <cell r="B124">
            <v>125.95</v>
          </cell>
        </row>
        <row r="125">
          <cell r="A125" t="str">
            <v>1WF30204944</v>
          </cell>
          <cell r="B125">
            <v>125.95</v>
          </cell>
        </row>
        <row r="126">
          <cell r="A126" t="str">
            <v>1WF30204988</v>
          </cell>
          <cell r="B126">
            <v>125.95</v>
          </cell>
        </row>
        <row r="127">
          <cell r="A127" t="str">
            <v>1WF30205289</v>
          </cell>
          <cell r="B127">
            <v>125.95</v>
          </cell>
        </row>
        <row r="128">
          <cell r="A128" t="str">
            <v>1WF30210553</v>
          </cell>
          <cell r="B128">
            <v>75.95</v>
          </cell>
        </row>
        <row r="129">
          <cell r="A129" t="str">
            <v>1WF30214944</v>
          </cell>
          <cell r="B129">
            <v>75.95</v>
          </cell>
        </row>
        <row r="130">
          <cell r="A130" t="str">
            <v>1WF30214988</v>
          </cell>
          <cell r="B130">
            <v>75.95</v>
          </cell>
        </row>
        <row r="131">
          <cell r="A131" t="str">
            <v>1WF30215289</v>
          </cell>
          <cell r="B131">
            <v>75.95</v>
          </cell>
        </row>
        <row r="132">
          <cell r="A132" t="str">
            <v>1WF30330069</v>
          </cell>
          <cell r="B132">
            <v>59.95</v>
          </cell>
        </row>
        <row r="133">
          <cell r="A133" t="str">
            <v>1WF30360553</v>
          </cell>
          <cell r="B133">
            <v>155.94999999999999</v>
          </cell>
        </row>
        <row r="134">
          <cell r="A134" t="str">
            <v>1WF30360603</v>
          </cell>
          <cell r="B134">
            <v>155.94999999999999</v>
          </cell>
        </row>
        <row r="135">
          <cell r="A135" t="str">
            <v>1WF30364991</v>
          </cell>
          <cell r="B135">
            <v>155.94999999999999</v>
          </cell>
        </row>
        <row r="136">
          <cell r="A136" t="str">
            <v>1WF30365007</v>
          </cell>
          <cell r="B136">
            <v>155.94999999999999</v>
          </cell>
        </row>
        <row r="137">
          <cell r="A137" t="str">
            <v>1WF30390553</v>
          </cell>
          <cell r="B137">
            <v>125.95</v>
          </cell>
        </row>
        <row r="138">
          <cell r="A138" t="str">
            <v>1WG10130553</v>
          </cell>
          <cell r="B138">
            <v>79.95</v>
          </cell>
        </row>
        <row r="139">
          <cell r="A139" t="str">
            <v>1WG10134944</v>
          </cell>
          <cell r="B139">
            <v>79.95</v>
          </cell>
        </row>
        <row r="140">
          <cell r="A140" t="str">
            <v>1WG10134988</v>
          </cell>
          <cell r="B140">
            <v>79.95</v>
          </cell>
        </row>
        <row r="141">
          <cell r="A141" t="str">
            <v>1WG10135289</v>
          </cell>
          <cell r="B141">
            <v>79.95</v>
          </cell>
        </row>
        <row r="142">
          <cell r="A142" t="str">
            <v>1WG10225007</v>
          </cell>
          <cell r="B142">
            <v>85.95</v>
          </cell>
        </row>
        <row r="143">
          <cell r="A143" t="str">
            <v>1WG10270069</v>
          </cell>
          <cell r="B143">
            <v>85.95</v>
          </cell>
        </row>
        <row r="144">
          <cell r="A144" t="str">
            <v>1WG10270553</v>
          </cell>
          <cell r="B144">
            <v>85.95</v>
          </cell>
        </row>
        <row r="145">
          <cell r="A145" t="str">
            <v>1WG10275007</v>
          </cell>
          <cell r="B145">
            <v>85.95</v>
          </cell>
        </row>
        <row r="146">
          <cell r="A146" t="str">
            <v>1WG10280069</v>
          </cell>
          <cell r="B146">
            <v>75.95</v>
          </cell>
        </row>
        <row r="147">
          <cell r="A147" t="str">
            <v>1WG10280553</v>
          </cell>
          <cell r="B147">
            <v>75.95</v>
          </cell>
        </row>
        <row r="148">
          <cell r="A148" t="str">
            <v>1WG10460553</v>
          </cell>
          <cell r="B148">
            <v>125.95</v>
          </cell>
        </row>
        <row r="149">
          <cell r="A149" t="str">
            <v>1WG10920553</v>
          </cell>
          <cell r="B149">
            <v>125.95</v>
          </cell>
        </row>
        <row r="150">
          <cell r="A150" t="str">
            <v>1WG10924940</v>
          </cell>
          <cell r="B150">
            <v>125.95</v>
          </cell>
        </row>
        <row r="151">
          <cell r="A151" t="str">
            <v>1WG10924989</v>
          </cell>
          <cell r="B151">
            <v>125.95</v>
          </cell>
        </row>
        <row r="152">
          <cell r="A152" t="str">
            <v>1WG10925007</v>
          </cell>
          <cell r="B152">
            <v>125.95</v>
          </cell>
        </row>
        <row r="153">
          <cell r="A153" t="str">
            <v>1WG10925289</v>
          </cell>
          <cell r="B153">
            <v>125.95</v>
          </cell>
        </row>
        <row r="154">
          <cell r="A154" t="str">
            <v>1WG11070069</v>
          </cell>
          <cell r="B154">
            <v>65.95</v>
          </cell>
        </row>
        <row r="155">
          <cell r="A155" t="str">
            <v>1WG11140553</v>
          </cell>
          <cell r="B155">
            <v>135.94999999999999</v>
          </cell>
        </row>
        <row r="156">
          <cell r="A156" t="str">
            <v>1WG11161756</v>
          </cell>
          <cell r="B156">
            <v>95.95</v>
          </cell>
        </row>
        <row r="157">
          <cell r="A157" t="str">
            <v>1WG11870069</v>
          </cell>
          <cell r="B157">
            <v>65.95</v>
          </cell>
        </row>
        <row r="158">
          <cell r="A158" t="str">
            <v>1WG11870553</v>
          </cell>
          <cell r="B158">
            <v>65.95</v>
          </cell>
        </row>
        <row r="159">
          <cell r="A159" t="str">
            <v>1WG11880069</v>
          </cell>
          <cell r="B159">
            <v>75.95</v>
          </cell>
        </row>
        <row r="160">
          <cell r="A160" t="str">
            <v>1WG11880553</v>
          </cell>
          <cell r="B160">
            <v>75.95</v>
          </cell>
        </row>
        <row r="161">
          <cell r="A161" t="str">
            <v>1WG30254983</v>
          </cell>
          <cell r="B161">
            <v>125.95</v>
          </cell>
        </row>
        <row r="162">
          <cell r="A162" t="str">
            <v>1WG30270553</v>
          </cell>
          <cell r="B162">
            <v>69.95</v>
          </cell>
        </row>
        <row r="163">
          <cell r="A163" t="str">
            <v>1WG30360553</v>
          </cell>
          <cell r="B163">
            <v>75.95</v>
          </cell>
        </row>
        <row r="164">
          <cell r="A164" t="str">
            <v>1WG30364989</v>
          </cell>
          <cell r="B164">
            <v>75.95</v>
          </cell>
        </row>
        <row r="165">
          <cell r="A165" t="str">
            <v>1WG30365289</v>
          </cell>
          <cell r="B165">
            <v>75.95</v>
          </cell>
        </row>
        <row r="166">
          <cell r="A166" t="str">
            <v>1WG30620553</v>
          </cell>
          <cell r="B166">
            <v>75.95</v>
          </cell>
        </row>
        <row r="167">
          <cell r="A167" t="str">
            <v>1WG30624940</v>
          </cell>
          <cell r="B167">
            <v>75.95</v>
          </cell>
        </row>
        <row r="168">
          <cell r="A168" t="str">
            <v>1WG30750553</v>
          </cell>
          <cell r="B168">
            <v>125.95</v>
          </cell>
        </row>
        <row r="169">
          <cell r="A169" t="str">
            <v>1WG30754996</v>
          </cell>
          <cell r="B169">
            <v>125.95</v>
          </cell>
        </row>
        <row r="170">
          <cell r="A170" t="str">
            <v>1WG30760553</v>
          </cell>
          <cell r="B170">
            <v>135.94999999999999</v>
          </cell>
        </row>
        <row r="171">
          <cell r="A171" t="str">
            <v>1WG30764978</v>
          </cell>
          <cell r="B171">
            <v>135.94999999999999</v>
          </cell>
        </row>
        <row r="172">
          <cell r="A172" t="str">
            <v>1WG31250553</v>
          </cell>
          <cell r="B172">
            <v>135.94999999999999</v>
          </cell>
        </row>
        <row r="173">
          <cell r="A173" t="str">
            <v>1WG31310069</v>
          </cell>
          <cell r="B173">
            <v>59.95</v>
          </cell>
        </row>
        <row r="174">
          <cell r="A174" t="str">
            <v>1WG31705475</v>
          </cell>
          <cell r="B174">
            <v>115.95</v>
          </cell>
        </row>
        <row r="175">
          <cell r="A175" t="str">
            <v>1WG31870553</v>
          </cell>
          <cell r="B175">
            <v>69.95</v>
          </cell>
        </row>
        <row r="176">
          <cell r="A176" t="str">
            <v>1WG31874989</v>
          </cell>
          <cell r="B176">
            <v>69.95</v>
          </cell>
        </row>
        <row r="177">
          <cell r="A177" t="str">
            <v>1WG31875007</v>
          </cell>
          <cell r="B177">
            <v>69.95</v>
          </cell>
        </row>
        <row r="178">
          <cell r="A178" t="str">
            <v>1WF31034996</v>
          </cell>
          <cell r="B178">
            <v>305.95</v>
          </cell>
        </row>
        <row r="179">
          <cell r="A179" t="str">
            <v>1WG10524939</v>
          </cell>
          <cell r="B179">
            <v>225.95</v>
          </cell>
        </row>
        <row r="180">
          <cell r="A180" t="str">
            <v>1MG10734989</v>
          </cell>
          <cell r="B180">
            <v>135.94999999999999</v>
          </cell>
        </row>
        <row r="181">
          <cell r="A181" t="str">
            <v>1WG31484959</v>
          </cell>
          <cell r="B181">
            <v>69.95</v>
          </cell>
        </row>
        <row r="182">
          <cell r="A182" t="str">
            <v>1MG10034968</v>
          </cell>
          <cell r="B182">
            <v>105.95</v>
          </cell>
        </row>
        <row r="183">
          <cell r="A183" t="str">
            <v>1MG30610553</v>
          </cell>
          <cell r="B183">
            <v>125.95</v>
          </cell>
        </row>
        <row r="184">
          <cell r="A184" t="str">
            <v>1MG30615055</v>
          </cell>
          <cell r="B184">
            <v>125.95</v>
          </cell>
        </row>
        <row r="185">
          <cell r="A185" t="str">
            <v>1MG31140069</v>
          </cell>
          <cell r="B185">
            <v>69.95</v>
          </cell>
        </row>
        <row r="186">
          <cell r="A186" t="str">
            <v>1MG31140553</v>
          </cell>
          <cell r="B186">
            <v>69.95</v>
          </cell>
        </row>
        <row r="187">
          <cell r="A187" t="str">
            <v>1MG31154959</v>
          </cell>
          <cell r="B187">
            <v>95.95</v>
          </cell>
        </row>
        <row r="188">
          <cell r="A188" t="str">
            <v>1MG31154996</v>
          </cell>
          <cell r="B188">
            <v>95.95</v>
          </cell>
        </row>
        <row r="189">
          <cell r="A189" t="str">
            <v>1MG31155039</v>
          </cell>
          <cell r="B189">
            <v>95.95</v>
          </cell>
        </row>
        <row r="190">
          <cell r="A190" t="str">
            <v>1MG31420553</v>
          </cell>
          <cell r="B190">
            <v>125.95</v>
          </cell>
        </row>
        <row r="191">
          <cell r="A191" t="str">
            <v>1MG31425055</v>
          </cell>
          <cell r="B191">
            <v>125.95</v>
          </cell>
        </row>
        <row r="192">
          <cell r="A192" t="str">
            <v>1WF11875007</v>
          </cell>
          <cell r="B192">
            <v>95.95</v>
          </cell>
        </row>
        <row r="193">
          <cell r="A193" t="str">
            <v>1WG10200069</v>
          </cell>
          <cell r="B193">
            <v>155.94999999999999</v>
          </cell>
        </row>
        <row r="194">
          <cell r="A194" t="str">
            <v>1WG10205007</v>
          </cell>
          <cell r="B194">
            <v>155.94999999999999</v>
          </cell>
        </row>
        <row r="195">
          <cell r="A195" t="str">
            <v>1WG10964968</v>
          </cell>
          <cell r="B195">
            <v>115.95</v>
          </cell>
        </row>
        <row r="196">
          <cell r="A196" t="str">
            <v>1WG11171756</v>
          </cell>
          <cell r="B196">
            <v>125.95</v>
          </cell>
        </row>
        <row r="197">
          <cell r="A197" t="str">
            <v>1WG30370069</v>
          </cell>
          <cell r="B197">
            <v>75.95</v>
          </cell>
        </row>
        <row r="198">
          <cell r="A198" t="str">
            <v>1WG30370553</v>
          </cell>
          <cell r="B198">
            <v>75.95</v>
          </cell>
        </row>
        <row r="199">
          <cell r="A199" t="str">
            <v>1WG30535499</v>
          </cell>
          <cell r="B199">
            <v>85.95</v>
          </cell>
        </row>
        <row r="200">
          <cell r="A200" t="str">
            <v>1WG30535505</v>
          </cell>
          <cell r="B200">
            <v>85.95</v>
          </cell>
        </row>
        <row r="201">
          <cell r="A201" t="str">
            <v>1WG30674944</v>
          </cell>
          <cell r="B201">
            <v>125.95</v>
          </cell>
        </row>
        <row r="202">
          <cell r="A202" t="str">
            <v>1WG31334959</v>
          </cell>
          <cell r="B202">
            <v>95.95</v>
          </cell>
        </row>
        <row r="203">
          <cell r="A203" t="str">
            <v>1WG31335039</v>
          </cell>
          <cell r="B203">
            <v>95.95</v>
          </cell>
        </row>
        <row r="204">
          <cell r="A204" t="str">
            <v>1WG31790553</v>
          </cell>
          <cell r="B204">
            <v>125.95</v>
          </cell>
        </row>
        <row r="205">
          <cell r="A205" t="str">
            <v>1WG31795418</v>
          </cell>
          <cell r="B205">
            <v>125.95</v>
          </cell>
        </row>
        <row r="206">
          <cell r="A206" t="str">
            <v>1WG31910553</v>
          </cell>
          <cell r="B206">
            <v>85.95</v>
          </cell>
        </row>
        <row r="207">
          <cell r="A207" t="str">
            <v>1WG31915289</v>
          </cell>
          <cell r="B207">
            <v>85.95</v>
          </cell>
        </row>
        <row r="208">
          <cell r="A208" t="str">
            <v>1WG31855681</v>
          </cell>
          <cell r="B208">
            <v>85.95</v>
          </cell>
        </row>
        <row r="209">
          <cell r="A209" t="str">
            <v>1MG31235681</v>
          </cell>
          <cell r="B209">
            <v>85.95</v>
          </cell>
        </row>
        <row r="210">
          <cell r="A210" t="str">
            <v>1UG30170069</v>
          </cell>
          <cell r="B210">
            <v>105.95</v>
          </cell>
        </row>
        <row r="211">
          <cell r="A211" t="str">
            <v>1MG31265562</v>
          </cell>
          <cell r="B211">
            <v>125.95</v>
          </cell>
        </row>
        <row r="212">
          <cell r="A212" t="str">
            <v>1WG31475562</v>
          </cell>
          <cell r="B212">
            <v>125.95</v>
          </cell>
        </row>
        <row r="213">
          <cell r="A213" t="str">
            <v>1UG30050069</v>
          </cell>
          <cell r="B213">
            <v>105.95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A8F8-9135-4C1B-AA4E-1F856209F55D}">
  <dimension ref="A1:AI17"/>
  <sheetViews>
    <sheetView tabSelected="1" topLeftCell="O1" zoomScale="85" zoomScaleNormal="85" workbookViewId="0">
      <selection activeCell="F6" sqref="F6"/>
    </sheetView>
  </sheetViews>
  <sheetFormatPr baseColWidth="10" defaultColWidth="17.140625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3.1406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30" style="1" bestFit="1" customWidth="1"/>
    <col min="14" max="14" width="14.140625" style="1" bestFit="1" customWidth="1"/>
    <col min="15" max="15" width="38.7109375" style="1" bestFit="1" customWidth="1"/>
    <col min="16" max="16" width="15.28515625" style="1" bestFit="1" customWidth="1"/>
    <col min="17" max="17" width="16.85546875" style="1" bestFit="1" customWidth="1"/>
    <col min="18" max="18" width="10.85546875" style="1" bestFit="1" customWidth="1"/>
    <col min="19" max="19" width="17.2851562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6.140625" style="1" bestFit="1" customWidth="1"/>
    <col min="31" max="31" width="18.5703125" style="1" bestFit="1" customWidth="1"/>
    <col min="32" max="32" width="11" style="1" bestFit="1" customWidth="1"/>
    <col min="33" max="33" width="9.7109375" style="1" bestFit="1" customWidth="1"/>
    <col min="34" max="34" width="5.5703125" style="1" bestFit="1" customWidth="1"/>
    <col min="35" max="35" width="10.140625" style="1" bestFit="1" customWidth="1"/>
    <col min="36" max="16384" width="17.140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74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 s="1" t="s">
        <v>34</v>
      </c>
      <c r="B2" s="1" t="s">
        <v>35</v>
      </c>
      <c r="C2" s="1" t="str">
        <f t="shared" ref="C2:C17" si="0">"816"</f>
        <v>816</v>
      </c>
      <c r="D2" s="1" t="s">
        <v>36</v>
      </c>
      <c r="E2" s="1" t="s">
        <v>37</v>
      </c>
      <c r="F2" s="1" t="s">
        <v>38</v>
      </c>
      <c r="G2" s="1" t="str">
        <f t="shared" ref="G2:G17" si="1">"01"</f>
        <v>01</v>
      </c>
      <c r="H2" s="1" t="s">
        <v>39</v>
      </c>
      <c r="I2" s="1" t="s">
        <v>40</v>
      </c>
      <c r="J2" s="1" t="s">
        <v>41</v>
      </c>
      <c r="K2" s="1">
        <v>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X2" s="1">
        <v>1</v>
      </c>
      <c r="Y2" s="1" t="s">
        <v>52</v>
      </c>
      <c r="Z2" s="1" t="str">
        <f>"7615537244631"</f>
        <v>7615537244631</v>
      </c>
      <c r="AA2" s="1">
        <v>1</v>
      </c>
      <c r="AB2" s="1">
        <v>1</v>
      </c>
      <c r="AC2" s="1">
        <v>1</v>
      </c>
      <c r="AD2" s="1">
        <f>VLOOKUP(L2,[1]Hoja2!$A:$B,2,0)</f>
        <v>85.95</v>
      </c>
      <c r="AE2" s="1">
        <v>39</v>
      </c>
      <c r="AF2" s="1">
        <v>39</v>
      </c>
      <c r="AG2" s="1">
        <v>2E-3</v>
      </c>
      <c r="AH2" s="1">
        <v>0.14000000000000001</v>
      </c>
      <c r="AI2" s="1" t="s">
        <v>53</v>
      </c>
    </row>
    <row r="3" spans="1:35" x14ac:dyDescent="0.25">
      <c r="A3" s="1" t="s">
        <v>34</v>
      </c>
      <c r="B3" s="1" t="s">
        <v>35</v>
      </c>
      <c r="C3" s="1" t="str">
        <f t="shared" si="0"/>
        <v>816</v>
      </c>
      <c r="D3" s="1" t="s">
        <v>36</v>
      </c>
      <c r="E3" s="1" t="s">
        <v>37</v>
      </c>
      <c r="F3" s="1" t="s">
        <v>38</v>
      </c>
      <c r="G3" s="1" t="str">
        <f t="shared" si="1"/>
        <v>01</v>
      </c>
      <c r="H3" s="1" t="s">
        <v>39</v>
      </c>
      <c r="I3" s="1" t="s">
        <v>40</v>
      </c>
      <c r="J3" s="1" t="s">
        <v>41</v>
      </c>
      <c r="K3" s="1">
        <v>2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54</v>
      </c>
      <c r="X3" s="1">
        <v>1</v>
      </c>
      <c r="Y3" s="1" t="s">
        <v>54</v>
      </c>
      <c r="Z3" s="1" t="str">
        <f>"7615537244624"</f>
        <v>7615537244624</v>
      </c>
      <c r="AA3" s="1">
        <v>1</v>
      </c>
      <c r="AB3" s="1">
        <v>4</v>
      </c>
      <c r="AC3" s="1">
        <v>4</v>
      </c>
      <c r="AD3" s="1">
        <f>VLOOKUP(L3,[1]Hoja2!$A:$B,2,0)</f>
        <v>85.95</v>
      </c>
      <c r="AE3" s="1">
        <v>39</v>
      </c>
      <c r="AF3" s="1">
        <v>156</v>
      </c>
      <c r="AG3" s="1">
        <v>1E-3</v>
      </c>
      <c r="AH3" s="1">
        <v>0.14000000000000001</v>
      </c>
      <c r="AI3" s="1" t="s">
        <v>53</v>
      </c>
    </row>
    <row r="4" spans="1:35" x14ac:dyDescent="0.25">
      <c r="A4" s="1" t="s">
        <v>34</v>
      </c>
      <c r="B4" s="1" t="s">
        <v>35</v>
      </c>
      <c r="C4" s="1" t="str">
        <f t="shared" si="0"/>
        <v>816</v>
      </c>
      <c r="D4" s="1" t="s">
        <v>36</v>
      </c>
      <c r="E4" s="1" t="s">
        <v>37</v>
      </c>
      <c r="F4" s="1" t="s">
        <v>38</v>
      </c>
      <c r="G4" s="1" t="str">
        <f t="shared" si="1"/>
        <v>01</v>
      </c>
      <c r="H4" s="1" t="s">
        <v>39</v>
      </c>
      <c r="I4" s="1" t="s">
        <v>40</v>
      </c>
      <c r="J4" s="1" t="s">
        <v>41</v>
      </c>
      <c r="K4" s="1">
        <v>3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40</v>
      </c>
      <c r="X4" s="1">
        <v>1</v>
      </c>
      <c r="Y4" s="1" t="s">
        <v>40</v>
      </c>
      <c r="Z4" s="1" t="str">
        <f>"7615537244617"</f>
        <v>7615537244617</v>
      </c>
      <c r="AA4" s="1">
        <v>1</v>
      </c>
      <c r="AB4" s="1">
        <v>3</v>
      </c>
      <c r="AC4" s="1">
        <v>3</v>
      </c>
      <c r="AD4" s="1">
        <f>VLOOKUP(L4,[1]Hoja2!$A:$B,2,0)</f>
        <v>85.95</v>
      </c>
      <c r="AE4" s="1">
        <v>39</v>
      </c>
      <c r="AF4" s="1">
        <v>117</v>
      </c>
      <c r="AG4" s="1">
        <v>1E-3</v>
      </c>
      <c r="AH4" s="1">
        <v>0.1</v>
      </c>
      <c r="AI4" s="1" t="s">
        <v>53</v>
      </c>
    </row>
    <row r="5" spans="1:35" x14ac:dyDescent="0.25">
      <c r="A5" s="1" t="s">
        <v>34</v>
      </c>
      <c r="B5" s="1" t="s">
        <v>35</v>
      </c>
      <c r="C5" s="1" t="str">
        <f t="shared" si="0"/>
        <v>816</v>
      </c>
      <c r="D5" s="1" t="s">
        <v>36</v>
      </c>
      <c r="E5" s="1" t="s">
        <v>37</v>
      </c>
      <c r="F5" s="1" t="s">
        <v>38</v>
      </c>
      <c r="G5" s="1" t="str">
        <f t="shared" si="1"/>
        <v>01</v>
      </c>
      <c r="H5" s="1" t="s">
        <v>39</v>
      </c>
      <c r="I5" s="1" t="s">
        <v>40</v>
      </c>
      <c r="J5" s="1" t="s">
        <v>41</v>
      </c>
      <c r="K5" s="1">
        <v>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47</v>
      </c>
      <c r="R5" s="1" t="s">
        <v>60</v>
      </c>
      <c r="S5" s="1" t="s">
        <v>61</v>
      </c>
      <c r="T5" s="1" t="s">
        <v>50</v>
      </c>
      <c r="U5" s="1" t="s">
        <v>51</v>
      </c>
      <c r="V5" s="1" t="s">
        <v>52</v>
      </c>
      <c r="X5" s="1">
        <v>1</v>
      </c>
      <c r="Y5" s="1" t="s">
        <v>52</v>
      </c>
      <c r="Z5" s="1" t="str">
        <f>"7615537262604"</f>
        <v>7615537262604</v>
      </c>
      <c r="AA5" s="1">
        <v>1</v>
      </c>
      <c r="AB5" s="1">
        <v>2</v>
      </c>
      <c r="AC5" s="1">
        <v>2</v>
      </c>
      <c r="AD5" s="1">
        <f>VLOOKUP(L5,[1]Hoja2!$A:$B,2,0)</f>
        <v>85.95</v>
      </c>
      <c r="AE5" s="1">
        <v>39</v>
      </c>
      <c r="AF5" s="1">
        <v>78</v>
      </c>
      <c r="AG5" s="1">
        <v>3.0000000000000001E-3</v>
      </c>
      <c r="AH5" s="1">
        <v>0.26</v>
      </c>
      <c r="AI5" s="1" t="s">
        <v>53</v>
      </c>
    </row>
    <row r="6" spans="1:35" x14ac:dyDescent="0.25">
      <c r="A6" s="1" t="s">
        <v>34</v>
      </c>
      <c r="B6" s="1" t="s">
        <v>35</v>
      </c>
      <c r="C6" s="1" t="str">
        <f t="shared" si="0"/>
        <v>816</v>
      </c>
      <c r="D6" s="1" t="s">
        <v>36</v>
      </c>
      <c r="E6" s="1" t="s">
        <v>37</v>
      </c>
      <c r="F6" s="1" t="s">
        <v>38</v>
      </c>
      <c r="G6" s="1" t="str">
        <f t="shared" si="1"/>
        <v>01</v>
      </c>
      <c r="H6" s="1" t="s">
        <v>39</v>
      </c>
      <c r="I6" s="1" t="s">
        <v>40</v>
      </c>
      <c r="J6" s="1" t="s">
        <v>41</v>
      </c>
      <c r="K6" s="1">
        <v>5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47</v>
      </c>
      <c r="R6" s="1" t="s">
        <v>60</v>
      </c>
      <c r="S6" s="1" t="s">
        <v>61</v>
      </c>
      <c r="T6" s="1" t="s">
        <v>50</v>
      </c>
      <c r="U6" s="1" t="s">
        <v>51</v>
      </c>
      <c r="V6" s="1" t="s">
        <v>54</v>
      </c>
      <c r="X6" s="1">
        <v>1</v>
      </c>
      <c r="Y6" s="1" t="s">
        <v>54</v>
      </c>
      <c r="Z6" s="1" t="str">
        <f>"7615537262598"</f>
        <v>7615537262598</v>
      </c>
      <c r="AA6" s="1">
        <v>1</v>
      </c>
      <c r="AB6" s="1">
        <v>4</v>
      </c>
      <c r="AC6" s="1">
        <v>4</v>
      </c>
      <c r="AD6" s="1">
        <f>VLOOKUP(L6,[1]Hoja2!$A:$B,2,0)</f>
        <v>85.95</v>
      </c>
      <c r="AE6" s="1">
        <v>39</v>
      </c>
      <c r="AF6" s="1">
        <v>156</v>
      </c>
      <c r="AG6" s="1">
        <v>4.0000000000000001E-3</v>
      </c>
      <c r="AH6" s="1">
        <v>0.24</v>
      </c>
      <c r="AI6" s="1" t="s">
        <v>53</v>
      </c>
    </row>
    <row r="7" spans="1:35" x14ac:dyDescent="0.25">
      <c r="A7" s="1" t="s">
        <v>34</v>
      </c>
      <c r="B7" s="1" t="s">
        <v>35</v>
      </c>
      <c r="C7" s="1" t="str">
        <f t="shared" si="0"/>
        <v>816</v>
      </c>
      <c r="D7" s="1" t="s">
        <v>36</v>
      </c>
      <c r="E7" s="1" t="s">
        <v>37</v>
      </c>
      <c r="F7" s="1" t="s">
        <v>38</v>
      </c>
      <c r="G7" s="1" t="str">
        <f t="shared" si="1"/>
        <v>01</v>
      </c>
      <c r="H7" s="1" t="s">
        <v>39</v>
      </c>
      <c r="I7" s="1" t="s">
        <v>40</v>
      </c>
      <c r="J7" s="1" t="s">
        <v>41</v>
      </c>
      <c r="K7" s="1">
        <v>6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47</v>
      </c>
      <c r="R7" s="1" t="s">
        <v>60</v>
      </c>
      <c r="S7" s="1" t="s">
        <v>61</v>
      </c>
      <c r="T7" s="1" t="s">
        <v>50</v>
      </c>
      <c r="U7" s="1" t="s">
        <v>51</v>
      </c>
      <c r="V7" s="1" t="s">
        <v>40</v>
      </c>
      <c r="X7" s="1">
        <v>1</v>
      </c>
      <c r="Y7" s="1" t="s">
        <v>40</v>
      </c>
      <c r="Z7" s="1" t="str">
        <f>"7615537262581"</f>
        <v>7615537262581</v>
      </c>
      <c r="AA7" s="1">
        <v>1</v>
      </c>
      <c r="AB7" s="1">
        <v>2</v>
      </c>
      <c r="AC7" s="1">
        <v>2</v>
      </c>
      <c r="AD7" s="1">
        <f>VLOOKUP(L7,[1]Hoja2!$A:$B,2,0)</f>
        <v>85.95</v>
      </c>
      <c r="AE7" s="1">
        <v>39</v>
      </c>
      <c r="AF7" s="1">
        <v>78</v>
      </c>
      <c r="AG7" s="1">
        <v>3.0000000000000001E-3</v>
      </c>
      <c r="AH7" s="1">
        <v>0.22</v>
      </c>
      <c r="AI7" s="1" t="s">
        <v>53</v>
      </c>
    </row>
    <row r="8" spans="1:35" x14ac:dyDescent="0.25">
      <c r="A8" s="1" t="s">
        <v>34</v>
      </c>
      <c r="B8" s="1" t="s">
        <v>35</v>
      </c>
      <c r="C8" s="1" t="str">
        <f t="shared" si="0"/>
        <v>816</v>
      </c>
      <c r="D8" s="1" t="s">
        <v>36</v>
      </c>
      <c r="E8" s="1" t="s">
        <v>37</v>
      </c>
      <c r="F8" s="1" t="s">
        <v>38</v>
      </c>
      <c r="G8" s="1" t="str">
        <f t="shared" si="1"/>
        <v>01</v>
      </c>
      <c r="H8" s="1" t="s">
        <v>39</v>
      </c>
      <c r="I8" s="1" t="s">
        <v>40</v>
      </c>
      <c r="J8" s="1" t="s">
        <v>41</v>
      </c>
      <c r="K8" s="1">
        <v>8</v>
      </c>
      <c r="L8" s="1" t="s">
        <v>62</v>
      </c>
      <c r="M8" s="1" t="s">
        <v>63</v>
      </c>
      <c r="N8" s="1" t="s">
        <v>44</v>
      </c>
      <c r="O8" s="1" t="s">
        <v>45</v>
      </c>
      <c r="P8" s="1" t="s">
        <v>46</v>
      </c>
      <c r="Q8" s="1" t="s">
        <v>64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40</v>
      </c>
      <c r="X8" s="1">
        <v>1</v>
      </c>
      <c r="Y8" s="1" t="s">
        <v>40</v>
      </c>
      <c r="Z8" s="1" t="str">
        <f>"7615537260211"</f>
        <v>7615537260211</v>
      </c>
      <c r="AA8" s="1">
        <v>1</v>
      </c>
      <c r="AB8" s="1">
        <v>3</v>
      </c>
      <c r="AC8" s="1">
        <v>3</v>
      </c>
      <c r="AD8" s="1">
        <f>VLOOKUP(L8,[1]Hoja2!$A:$B,2,0)</f>
        <v>75.95</v>
      </c>
      <c r="AE8" s="1">
        <v>34</v>
      </c>
      <c r="AF8" s="1">
        <v>102</v>
      </c>
      <c r="AG8" s="1">
        <v>1E-3</v>
      </c>
      <c r="AH8" s="1">
        <v>0.15</v>
      </c>
      <c r="AI8" s="1" t="s">
        <v>53</v>
      </c>
    </row>
    <row r="9" spans="1:35" x14ac:dyDescent="0.25">
      <c r="A9" s="1" t="s">
        <v>34</v>
      </c>
      <c r="B9" s="1" t="s">
        <v>35</v>
      </c>
      <c r="C9" s="1" t="str">
        <f t="shared" si="0"/>
        <v>816</v>
      </c>
      <c r="D9" s="1" t="s">
        <v>36</v>
      </c>
      <c r="E9" s="1" t="s">
        <v>37</v>
      </c>
      <c r="F9" s="1" t="s">
        <v>38</v>
      </c>
      <c r="G9" s="1" t="str">
        <f t="shared" si="1"/>
        <v>01</v>
      </c>
      <c r="H9" s="1" t="s">
        <v>39</v>
      </c>
      <c r="I9" s="1" t="s">
        <v>40</v>
      </c>
      <c r="J9" s="1" t="s">
        <v>41</v>
      </c>
      <c r="K9" s="1">
        <v>9</v>
      </c>
      <c r="L9" s="1" t="s">
        <v>62</v>
      </c>
      <c r="M9" s="1" t="s">
        <v>63</v>
      </c>
      <c r="N9" s="1" t="s">
        <v>44</v>
      </c>
      <c r="O9" s="1" t="s">
        <v>45</v>
      </c>
      <c r="P9" s="1" t="s">
        <v>46</v>
      </c>
      <c r="Q9" s="1" t="s">
        <v>64</v>
      </c>
      <c r="R9" s="1" t="s">
        <v>48</v>
      </c>
      <c r="S9" s="1" t="s">
        <v>49</v>
      </c>
      <c r="T9" s="1" t="s">
        <v>50</v>
      </c>
      <c r="U9" s="1" t="s">
        <v>51</v>
      </c>
      <c r="V9" s="1" t="s">
        <v>65</v>
      </c>
      <c r="X9" s="1">
        <v>1</v>
      </c>
      <c r="Y9" s="1" t="s">
        <v>65</v>
      </c>
      <c r="Z9" s="1" t="str">
        <f>"7615537260204"</f>
        <v>7615537260204</v>
      </c>
      <c r="AA9" s="1">
        <v>1</v>
      </c>
      <c r="AB9" s="1">
        <v>2</v>
      </c>
      <c r="AC9" s="1">
        <v>2</v>
      </c>
      <c r="AD9" s="1">
        <f>VLOOKUP(L9,[1]Hoja2!$A:$B,2,0)</f>
        <v>75.95</v>
      </c>
      <c r="AE9" s="1">
        <v>34</v>
      </c>
      <c r="AF9" s="1">
        <v>68</v>
      </c>
      <c r="AG9" s="1">
        <v>2E-3</v>
      </c>
      <c r="AH9" s="1">
        <v>0.15</v>
      </c>
      <c r="AI9" s="1" t="s">
        <v>53</v>
      </c>
    </row>
    <row r="10" spans="1:35" x14ac:dyDescent="0.25">
      <c r="A10" s="1" t="s">
        <v>34</v>
      </c>
      <c r="B10" s="1" t="s">
        <v>35</v>
      </c>
      <c r="C10" s="1" t="str">
        <f t="shared" si="0"/>
        <v>816</v>
      </c>
      <c r="D10" s="1" t="s">
        <v>36</v>
      </c>
      <c r="E10" s="1" t="s">
        <v>37</v>
      </c>
      <c r="F10" s="1" t="s">
        <v>38</v>
      </c>
      <c r="G10" s="1" t="str">
        <f t="shared" si="1"/>
        <v>01</v>
      </c>
      <c r="H10" s="1" t="s">
        <v>39</v>
      </c>
      <c r="I10" s="1" t="s">
        <v>40</v>
      </c>
      <c r="J10" s="1" t="s">
        <v>41</v>
      </c>
      <c r="K10" s="1">
        <v>10</v>
      </c>
      <c r="L10" s="1" t="s">
        <v>66</v>
      </c>
      <c r="M10" s="1" t="s">
        <v>67</v>
      </c>
      <c r="N10" s="1" t="s">
        <v>68</v>
      </c>
      <c r="O10" s="1" t="s">
        <v>69</v>
      </c>
      <c r="P10" s="1" t="s">
        <v>70</v>
      </c>
      <c r="Q10" s="1" t="s">
        <v>64</v>
      </c>
      <c r="R10" s="1" t="s">
        <v>71</v>
      </c>
      <c r="S10" s="1" t="s">
        <v>71</v>
      </c>
      <c r="T10" s="1" t="s">
        <v>50</v>
      </c>
      <c r="U10" s="1" t="s">
        <v>51</v>
      </c>
      <c r="V10" s="1" t="s">
        <v>52</v>
      </c>
      <c r="X10" s="1">
        <v>1</v>
      </c>
      <c r="Y10" s="1" t="s">
        <v>52</v>
      </c>
      <c r="Z10" s="1" t="str">
        <f>"7615537420301"</f>
        <v>7615537420301</v>
      </c>
      <c r="AA10" s="1">
        <v>1</v>
      </c>
      <c r="AB10" s="1">
        <v>1</v>
      </c>
      <c r="AC10" s="1">
        <v>1</v>
      </c>
      <c r="AD10" s="1">
        <f>VLOOKUP(L10,[1]Hoja2!$A:$B,2,0)</f>
        <v>55.95</v>
      </c>
      <c r="AE10" s="1">
        <v>24</v>
      </c>
      <c r="AF10" s="1">
        <v>24</v>
      </c>
      <c r="AG10" s="1">
        <v>2E-3</v>
      </c>
      <c r="AH10" s="1">
        <v>0.16</v>
      </c>
      <c r="AI10" s="1" t="s">
        <v>53</v>
      </c>
    </row>
    <row r="11" spans="1:35" x14ac:dyDescent="0.25">
      <c r="A11" s="1" t="s">
        <v>34</v>
      </c>
      <c r="B11" s="1" t="s">
        <v>35</v>
      </c>
      <c r="C11" s="1" t="str">
        <f t="shared" si="0"/>
        <v>816</v>
      </c>
      <c r="D11" s="1" t="s">
        <v>36</v>
      </c>
      <c r="E11" s="1" t="s">
        <v>37</v>
      </c>
      <c r="F11" s="1" t="s">
        <v>38</v>
      </c>
      <c r="G11" s="1" t="str">
        <f t="shared" si="1"/>
        <v>01</v>
      </c>
      <c r="H11" s="1" t="s">
        <v>39</v>
      </c>
      <c r="I11" s="1" t="s">
        <v>40</v>
      </c>
      <c r="J11" s="1" t="s">
        <v>41</v>
      </c>
      <c r="K11" s="1">
        <v>11</v>
      </c>
      <c r="L11" s="1" t="s">
        <v>66</v>
      </c>
      <c r="M11" s="1" t="s">
        <v>67</v>
      </c>
      <c r="N11" s="1" t="s">
        <v>68</v>
      </c>
      <c r="O11" s="1" t="s">
        <v>69</v>
      </c>
      <c r="P11" s="1" t="s">
        <v>70</v>
      </c>
      <c r="Q11" s="1" t="s">
        <v>64</v>
      </c>
      <c r="R11" s="1" t="s">
        <v>71</v>
      </c>
      <c r="S11" s="1" t="s">
        <v>71</v>
      </c>
      <c r="T11" s="1" t="s">
        <v>50</v>
      </c>
      <c r="U11" s="1" t="s">
        <v>51</v>
      </c>
      <c r="V11" s="1" t="s">
        <v>54</v>
      </c>
      <c r="X11" s="1">
        <v>1</v>
      </c>
      <c r="Y11" s="1" t="s">
        <v>54</v>
      </c>
      <c r="Z11" s="1" t="str">
        <f>"7615537420073"</f>
        <v>7615537420073</v>
      </c>
      <c r="AA11" s="1">
        <v>1</v>
      </c>
      <c r="AB11" s="1">
        <v>1</v>
      </c>
      <c r="AC11" s="1">
        <v>1</v>
      </c>
      <c r="AD11" s="1">
        <f>VLOOKUP(L11,[1]Hoja2!$A:$B,2,0)</f>
        <v>55.95</v>
      </c>
      <c r="AE11" s="1">
        <v>24</v>
      </c>
      <c r="AF11" s="1">
        <v>24</v>
      </c>
      <c r="AG11" s="1">
        <v>3.0000000000000001E-3</v>
      </c>
      <c r="AH11" s="1">
        <v>0.14000000000000001</v>
      </c>
      <c r="AI11" s="1" t="s">
        <v>53</v>
      </c>
    </row>
    <row r="12" spans="1:35" x14ac:dyDescent="0.25">
      <c r="A12" s="1" t="s">
        <v>34</v>
      </c>
      <c r="B12" s="1" t="s">
        <v>35</v>
      </c>
      <c r="C12" s="1" t="str">
        <f t="shared" si="0"/>
        <v>816</v>
      </c>
      <c r="D12" s="1" t="s">
        <v>36</v>
      </c>
      <c r="E12" s="1" t="s">
        <v>37</v>
      </c>
      <c r="F12" s="1" t="s">
        <v>38</v>
      </c>
      <c r="G12" s="1" t="str">
        <f t="shared" si="1"/>
        <v>01</v>
      </c>
      <c r="H12" s="1" t="s">
        <v>39</v>
      </c>
      <c r="I12" s="1" t="s">
        <v>40</v>
      </c>
      <c r="J12" s="1" t="s">
        <v>41</v>
      </c>
      <c r="K12" s="1">
        <v>12</v>
      </c>
      <c r="L12" s="1" t="s">
        <v>66</v>
      </c>
      <c r="M12" s="1" t="s">
        <v>67</v>
      </c>
      <c r="N12" s="1" t="s">
        <v>68</v>
      </c>
      <c r="O12" s="1" t="s">
        <v>69</v>
      </c>
      <c r="P12" s="1" t="s">
        <v>70</v>
      </c>
      <c r="Q12" s="1" t="s">
        <v>64</v>
      </c>
      <c r="R12" s="1" t="s">
        <v>71</v>
      </c>
      <c r="S12" s="1" t="s">
        <v>71</v>
      </c>
      <c r="T12" s="1" t="s">
        <v>50</v>
      </c>
      <c r="U12" s="1" t="s">
        <v>51</v>
      </c>
      <c r="V12" s="1" t="s">
        <v>40</v>
      </c>
      <c r="X12" s="1">
        <v>1</v>
      </c>
      <c r="Y12" s="1" t="s">
        <v>40</v>
      </c>
      <c r="Z12" s="1" t="str">
        <f>"7615537420219"</f>
        <v>7615537420219</v>
      </c>
      <c r="AA12" s="1">
        <v>1</v>
      </c>
      <c r="AB12" s="1">
        <v>1</v>
      </c>
      <c r="AC12" s="1">
        <v>1</v>
      </c>
      <c r="AD12" s="1">
        <f>VLOOKUP(L12,[1]Hoja2!$A:$B,2,0)</f>
        <v>55.95</v>
      </c>
      <c r="AE12" s="1">
        <v>24</v>
      </c>
      <c r="AF12" s="1">
        <v>24</v>
      </c>
      <c r="AG12" s="1">
        <v>1E-3</v>
      </c>
      <c r="AH12" s="1">
        <v>0.14000000000000001</v>
      </c>
      <c r="AI12" s="1" t="s">
        <v>53</v>
      </c>
    </row>
    <row r="13" spans="1:35" x14ac:dyDescent="0.25">
      <c r="A13" s="1" t="s">
        <v>34</v>
      </c>
      <c r="B13" s="1" t="s">
        <v>35</v>
      </c>
      <c r="C13" s="1" t="str">
        <f t="shared" si="0"/>
        <v>816</v>
      </c>
      <c r="D13" s="1" t="s">
        <v>36</v>
      </c>
      <c r="E13" s="1" t="s">
        <v>37</v>
      </c>
      <c r="F13" s="1" t="s">
        <v>38</v>
      </c>
      <c r="G13" s="1" t="str">
        <f t="shared" si="1"/>
        <v>01</v>
      </c>
      <c r="H13" s="1" t="s">
        <v>39</v>
      </c>
      <c r="I13" s="1" t="s">
        <v>40</v>
      </c>
      <c r="J13" s="1" t="s">
        <v>41</v>
      </c>
      <c r="K13" s="1">
        <v>13</v>
      </c>
      <c r="L13" s="1" t="s">
        <v>66</v>
      </c>
      <c r="M13" s="1" t="s">
        <v>67</v>
      </c>
      <c r="N13" s="1" t="s">
        <v>68</v>
      </c>
      <c r="O13" s="1" t="s">
        <v>69</v>
      </c>
      <c r="P13" s="1" t="s">
        <v>70</v>
      </c>
      <c r="Q13" s="1" t="s">
        <v>64</v>
      </c>
      <c r="R13" s="1" t="s">
        <v>71</v>
      </c>
      <c r="S13" s="1" t="s">
        <v>71</v>
      </c>
      <c r="T13" s="1" t="s">
        <v>50</v>
      </c>
      <c r="U13" s="1" t="s">
        <v>51</v>
      </c>
      <c r="V13" s="1" t="s">
        <v>65</v>
      </c>
      <c r="X13" s="1">
        <v>1</v>
      </c>
      <c r="Y13" s="1" t="s">
        <v>65</v>
      </c>
      <c r="Z13" s="1" t="str">
        <f>"7615537420387"</f>
        <v>7615537420387</v>
      </c>
      <c r="AA13" s="1">
        <v>1</v>
      </c>
      <c r="AB13" s="1">
        <v>3</v>
      </c>
      <c r="AC13" s="1">
        <v>3</v>
      </c>
      <c r="AD13" s="1">
        <f>VLOOKUP(L13,[1]Hoja2!$A:$B,2,0)</f>
        <v>55.95</v>
      </c>
      <c r="AE13" s="1">
        <v>24</v>
      </c>
      <c r="AF13" s="1">
        <v>72</v>
      </c>
      <c r="AG13" s="1">
        <v>3.0000000000000001E-3</v>
      </c>
      <c r="AH13" s="1">
        <v>0.14000000000000001</v>
      </c>
      <c r="AI13" s="1" t="s">
        <v>53</v>
      </c>
    </row>
    <row r="14" spans="1:35" x14ac:dyDescent="0.25">
      <c r="A14" s="1" t="s">
        <v>34</v>
      </c>
      <c r="B14" s="1" t="s">
        <v>35</v>
      </c>
      <c r="C14" s="1" t="str">
        <f t="shared" si="0"/>
        <v>816</v>
      </c>
      <c r="D14" s="1" t="s">
        <v>36</v>
      </c>
      <c r="E14" s="1" t="s">
        <v>37</v>
      </c>
      <c r="F14" s="1" t="s">
        <v>38</v>
      </c>
      <c r="G14" s="1" t="str">
        <f t="shared" si="1"/>
        <v>01</v>
      </c>
      <c r="H14" s="1" t="s">
        <v>39</v>
      </c>
      <c r="I14" s="1" t="s">
        <v>40</v>
      </c>
      <c r="J14" s="1" t="s">
        <v>41</v>
      </c>
      <c r="K14" s="1">
        <v>14</v>
      </c>
      <c r="L14" s="1" t="s">
        <v>72</v>
      </c>
      <c r="M14" s="1" t="s">
        <v>73</v>
      </c>
      <c r="N14" s="1" t="s">
        <v>57</v>
      </c>
      <c r="O14" s="1" t="s">
        <v>58</v>
      </c>
      <c r="P14" s="1" t="s">
        <v>59</v>
      </c>
      <c r="Q14" s="1" t="s">
        <v>64</v>
      </c>
      <c r="R14" s="1" t="s">
        <v>60</v>
      </c>
      <c r="S14" s="1" t="s">
        <v>61</v>
      </c>
      <c r="T14" s="1" t="s">
        <v>50</v>
      </c>
      <c r="U14" s="1" t="s">
        <v>51</v>
      </c>
      <c r="V14" s="1" t="s">
        <v>54</v>
      </c>
      <c r="X14" s="1">
        <v>1</v>
      </c>
      <c r="Y14" s="1" t="s">
        <v>54</v>
      </c>
      <c r="Z14" s="1" t="str">
        <f>"7615537266558"</f>
        <v>7615537266558</v>
      </c>
      <c r="AA14" s="1">
        <v>1</v>
      </c>
      <c r="AB14" s="1">
        <v>1</v>
      </c>
      <c r="AC14" s="1">
        <v>1</v>
      </c>
      <c r="AD14" s="1">
        <f>VLOOKUP(L14,[1]Hoja2!$A:$B,2,0)</f>
        <v>85.95</v>
      </c>
      <c r="AE14" s="1">
        <v>39</v>
      </c>
      <c r="AF14" s="1">
        <v>39</v>
      </c>
      <c r="AG14" s="1">
        <v>2E-3</v>
      </c>
      <c r="AH14" s="1">
        <v>0.2</v>
      </c>
      <c r="AI14" s="1" t="s">
        <v>53</v>
      </c>
    </row>
    <row r="15" spans="1:35" x14ac:dyDescent="0.25">
      <c r="A15" s="1" t="s">
        <v>34</v>
      </c>
      <c r="B15" s="1" t="s">
        <v>35</v>
      </c>
      <c r="C15" s="1" t="str">
        <f t="shared" si="0"/>
        <v>816</v>
      </c>
      <c r="D15" s="1" t="s">
        <v>36</v>
      </c>
      <c r="E15" s="1" t="s">
        <v>37</v>
      </c>
      <c r="F15" s="1" t="s">
        <v>38</v>
      </c>
      <c r="G15" s="1" t="str">
        <f t="shared" si="1"/>
        <v>01</v>
      </c>
      <c r="H15" s="1" t="s">
        <v>39</v>
      </c>
      <c r="I15" s="1" t="s">
        <v>40</v>
      </c>
      <c r="J15" s="1" t="s">
        <v>41</v>
      </c>
      <c r="K15" s="1">
        <v>15</v>
      </c>
      <c r="L15" s="1" t="s">
        <v>72</v>
      </c>
      <c r="M15" s="1" t="s">
        <v>73</v>
      </c>
      <c r="N15" s="1" t="s">
        <v>57</v>
      </c>
      <c r="O15" s="1" t="s">
        <v>58</v>
      </c>
      <c r="P15" s="1" t="s">
        <v>59</v>
      </c>
      <c r="Q15" s="1" t="s">
        <v>64</v>
      </c>
      <c r="R15" s="1" t="s">
        <v>60</v>
      </c>
      <c r="S15" s="1" t="s">
        <v>61</v>
      </c>
      <c r="T15" s="1" t="s">
        <v>50</v>
      </c>
      <c r="U15" s="1" t="s">
        <v>51</v>
      </c>
      <c r="V15" s="1" t="s">
        <v>40</v>
      </c>
      <c r="X15" s="1">
        <v>1</v>
      </c>
      <c r="Y15" s="1" t="s">
        <v>40</v>
      </c>
      <c r="Z15" s="1" t="str">
        <f>"7615537266541"</f>
        <v>7615537266541</v>
      </c>
      <c r="AA15" s="1">
        <v>1</v>
      </c>
      <c r="AB15" s="1">
        <v>4</v>
      </c>
      <c r="AC15" s="1">
        <v>4</v>
      </c>
      <c r="AD15" s="1">
        <f>VLOOKUP(L15,[1]Hoja2!$A:$B,2,0)</f>
        <v>85.95</v>
      </c>
      <c r="AE15" s="1">
        <v>39</v>
      </c>
      <c r="AF15" s="1">
        <v>156</v>
      </c>
      <c r="AG15" s="1">
        <v>3.0000000000000001E-3</v>
      </c>
      <c r="AH15" s="1">
        <v>0.2</v>
      </c>
      <c r="AI15" s="1" t="s">
        <v>53</v>
      </c>
    </row>
    <row r="16" spans="1:35" x14ac:dyDescent="0.25">
      <c r="A16" s="1" t="s">
        <v>34</v>
      </c>
      <c r="B16" s="1" t="s">
        <v>35</v>
      </c>
      <c r="C16" s="1" t="str">
        <f t="shared" si="0"/>
        <v>816</v>
      </c>
      <c r="D16" s="1" t="s">
        <v>36</v>
      </c>
      <c r="E16" s="1" t="s">
        <v>37</v>
      </c>
      <c r="F16" s="1" t="s">
        <v>38</v>
      </c>
      <c r="G16" s="1" t="str">
        <f t="shared" si="1"/>
        <v>01</v>
      </c>
      <c r="H16" s="1" t="s">
        <v>39</v>
      </c>
      <c r="I16" s="1" t="s">
        <v>40</v>
      </c>
      <c r="J16" s="1" t="s">
        <v>41</v>
      </c>
      <c r="K16" s="1">
        <v>16</v>
      </c>
      <c r="L16" s="1" t="s">
        <v>72</v>
      </c>
      <c r="M16" s="1" t="s">
        <v>73</v>
      </c>
      <c r="N16" s="1" t="s">
        <v>57</v>
      </c>
      <c r="O16" s="1" t="s">
        <v>58</v>
      </c>
      <c r="P16" s="1" t="s">
        <v>59</v>
      </c>
      <c r="Q16" s="1" t="s">
        <v>64</v>
      </c>
      <c r="R16" s="1" t="s">
        <v>60</v>
      </c>
      <c r="S16" s="1" t="s">
        <v>61</v>
      </c>
      <c r="T16" s="1" t="s">
        <v>50</v>
      </c>
      <c r="U16" s="1" t="s">
        <v>51</v>
      </c>
      <c r="V16" s="1" t="s">
        <v>65</v>
      </c>
      <c r="X16" s="1">
        <v>1</v>
      </c>
      <c r="Y16" s="1" t="s">
        <v>65</v>
      </c>
      <c r="Z16" s="1" t="str">
        <f>"7615537266534"</f>
        <v>7615537266534</v>
      </c>
      <c r="AA16" s="1">
        <v>1</v>
      </c>
      <c r="AB16" s="1">
        <v>3</v>
      </c>
      <c r="AC16" s="1">
        <v>3</v>
      </c>
      <c r="AD16" s="1">
        <f>VLOOKUP(L16,[1]Hoja2!$A:$B,2,0)</f>
        <v>85.95</v>
      </c>
      <c r="AE16" s="1">
        <v>39</v>
      </c>
      <c r="AF16" s="1">
        <v>117</v>
      </c>
      <c r="AG16" s="1">
        <v>3.0000000000000001E-3</v>
      </c>
      <c r="AH16" s="1">
        <v>0.18</v>
      </c>
      <c r="AI16" s="1" t="s">
        <v>53</v>
      </c>
    </row>
    <row r="17" spans="1:35" x14ac:dyDescent="0.25">
      <c r="A17" s="1" t="s">
        <v>34</v>
      </c>
      <c r="B17" s="1" t="s">
        <v>35</v>
      </c>
      <c r="C17" s="1" t="str">
        <f t="shared" si="0"/>
        <v>816</v>
      </c>
      <c r="D17" s="1" t="s">
        <v>36</v>
      </c>
      <c r="E17" s="1" t="s">
        <v>37</v>
      </c>
      <c r="F17" s="1" t="s">
        <v>38</v>
      </c>
      <c r="G17" s="1" t="str">
        <f t="shared" si="1"/>
        <v>01</v>
      </c>
      <c r="H17" s="1" t="s">
        <v>39</v>
      </c>
      <c r="I17" s="1" t="s">
        <v>40</v>
      </c>
      <c r="J17" s="1" t="s">
        <v>41</v>
      </c>
      <c r="K17" s="1">
        <v>17</v>
      </c>
      <c r="L17" s="1" t="s">
        <v>62</v>
      </c>
      <c r="M17" s="1" t="s">
        <v>63</v>
      </c>
      <c r="N17" s="1" t="s">
        <v>44</v>
      </c>
      <c r="O17" s="1" t="s">
        <v>45</v>
      </c>
      <c r="P17" s="1" t="s">
        <v>46</v>
      </c>
      <c r="Q17" s="1" t="s">
        <v>64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54</v>
      </c>
      <c r="X17" s="1">
        <v>1</v>
      </c>
      <c r="Y17" s="1" t="s">
        <v>54</v>
      </c>
      <c r="Z17" s="1" t="str">
        <f>"7615537260228"</f>
        <v>7615537260228</v>
      </c>
      <c r="AA17" s="1">
        <v>1</v>
      </c>
      <c r="AB17" s="1">
        <v>3</v>
      </c>
      <c r="AC17" s="1">
        <v>3</v>
      </c>
      <c r="AD17" s="1">
        <f>VLOOKUP(L17,[1]Hoja2!$A:$B,2,0)</f>
        <v>75.95</v>
      </c>
      <c r="AE17" s="1">
        <v>34</v>
      </c>
      <c r="AF17" s="1">
        <v>102</v>
      </c>
      <c r="AG17" s="1">
        <v>1E-3</v>
      </c>
      <c r="AH17" s="1">
        <v>0.15</v>
      </c>
      <c r="AI1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Rivera</cp:lastModifiedBy>
  <dcterms:created xsi:type="dcterms:W3CDTF">2026-08-24T18:47:02Z</dcterms:created>
  <dcterms:modified xsi:type="dcterms:W3CDTF">2026-08-24T18:55:44Z</dcterms:modified>
</cp:coreProperties>
</file>