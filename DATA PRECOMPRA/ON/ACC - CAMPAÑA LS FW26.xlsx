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encybrands-my.sharepoint.com/personal/christian_rivera_sisa_com/Documents/Escritorio/On/VENTAS ON/2026/FW26/VENTAS/PANAMA/Running Balboa/RB - PTY/Intención #2/"/>
    </mc:Choice>
  </mc:AlternateContent>
  <xr:revisionPtr revIDLastSave="5" documentId="13_ncr:b_{EA39DB03-3118-47FC-9226-65CED7B7F776}" xr6:coauthVersionLast="47" xr6:coauthVersionMax="47" xr10:uidLastSave="{CD79E431-21FD-434F-8FE3-8F616A59B73C}"/>
  <bookViews>
    <workbookView xWindow="-120" yWindow="-120" windowWidth="20730" windowHeight="11040" xr2:uid="{AB07F6A6-6823-4FC6-AE23-ECB193FD7580}"/>
  </bookViews>
  <sheets>
    <sheet name="AC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G2" i="1"/>
  <c r="Z2" i="1"/>
  <c r="C3" i="1"/>
  <c r="G3" i="1"/>
  <c r="Z3" i="1"/>
</calcChain>
</file>

<file path=xl/sharedStrings.xml><?xml version="1.0" encoding="utf-8"?>
<sst xmlns="http://schemas.openxmlformats.org/spreadsheetml/2006/main" count="77" uniqueCount="57">
  <si>
    <t>VENDEDOR</t>
  </si>
  <si>
    <t>FECHA_CREA</t>
  </si>
  <si>
    <t>MARCA</t>
  </si>
  <si>
    <t>PEDIDO</t>
  </si>
  <si>
    <t>CLIENTE</t>
  </si>
  <si>
    <t>NOMBRE</t>
  </si>
  <si>
    <t>SUCURSAL</t>
  </si>
  <si>
    <t>NOMBRE SUCURSAL</t>
  </si>
  <si>
    <t>INVENTARIO</t>
  </si>
  <si>
    <t>ESTADO</t>
  </si>
  <si>
    <t>NUM. LINEA</t>
  </si>
  <si>
    <t>NOMBRE_MODELO</t>
  </si>
  <si>
    <t>CODIGO MODELO</t>
  </si>
  <si>
    <t>COLOR</t>
  </si>
  <si>
    <t>COMPOSICION</t>
  </si>
  <si>
    <t>ARANCEL</t>
  </si>
  <si>
    <t>GENERO</t>
  </si>
  <si>
    <t>CATEGORIA</t>
  </si>
  <si>
    <t>DESCRIPCION</t>
  </si>
  <si>
    <t>TEMPORADA</t>
  </si>
  <si>
    <t>PAIS_ORIGEN</t>
  </si>
  <si>
    <t>ESCALA</t>
  </si>
  <si>
    <t>QUARTER</t>
  </si>
  <si>
    <t>UNIDAD_EMPAQUE</t>
  </si>
  <si>
    <t>TALLA</t>
  </si>
  <si>
    <t>UPC</t>
  </si>
  <si>
    <t>DISTRIB_TALLA</t>
  </si>
  <si>
    <t>BULTOS_PED</t>
  </si>
  <si>
    <t>CANTIDAD_TALLA</t>
  </si>
  <si>
    <t>PRECIO_UNIT_TALLA</t>
  </si>
  <si>
    <t>EXTENSION</t>
  </si>
  <si>
    <t>VOLUMEN</t>
  </si>
  <si>
    <t>PESO</t>
  </si>
  <si>
    <t>FAX</t>
  </si>
  <si>
    <t>S47</t>
  </si>
  <si>
    <t>22/08/2026</t>
  </si>
  <si>
    <t>OR-SFW26087</t>
  </si>
  <si>
    <t>32-333</t>
  </si>
  <si>
    <t>RUN THE WORLD INC.</t>
  </si>
  <si>
    <t>Running Balboa Multiplaza</t>
  </si>
  <si>
    <t>S</t>
  </si>
  <si>
    <t>NULO</t>
  </si>
  <si>
    <t>2UG10040069</t>
  </si>
  <si>
    <t>SPECTER CAP 1</t>
  </si>
  <si>
    <t>WHITE</t>
  </si>
  <si>
    <t>100% POLIESTER RECICLADO</t>
  </si>
  <si>
    <t>6115.96.00.00.00</t>
  </si>
  <si>
    <t>UNISEX</t>
  </si>
  <si>
    <t>GORRAS</t>
  </si>
  <si>
    <t>MEDIAS</t>
  </si>
  <si>
    <t>FW26</t>
  </si>
  <si>
    <t>CN</t>
  </si>
  <si>
    <t>U1</t>
  </si>
  <si>
    <t>EXCLUSIVE</t>
  </si>
  <si>
    <t>2UG10040553</t>
  </si>
  <si>
    <t>BLACK</t>
  </si>
  <si>
    <t>PVP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</si>
</sst>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4C3A-EE53-4883-8BF2-FD991EF3BE5E}">
  <dimension ref="A1:AI3"/>
  <sheetViews>
    <sheetView tabSelected="1" topLeftCell="R1" zoomScale="85" zoomScaleNormal="85" workbookViewId="0">
      <selection activeCell="X8" sqref="X8"/>
    </sheetView>
  </sheetViews>
  <sheetFormatPr baseColWidth="10" defaultRowHeight="15" x14ac:dyDescent="0.25"/>
  <cols>
    <col min="1" max="1" width="10.7109375" style="1" bestFit="1" customWidth="1"/>
    <col min="2" max="2" width="12.28515625" style="1" bestFit="1" customWidth="1"/>
    <col min="3" max="3" width="7.140625" style="1" bestFit="1" customWidth="1"/>
    <col min="4" max="4" width="13.140625" style="1" bestFit="1" customWidth="1"/>
    <col min="5" max="5" width="8" style="1" bestFit="1" customWidth="1"/>
    <col min="6" max="6" width="19.7109375" style="1" bestFit="1" customWidth="1"/>
    <col min="7" max="7" width="9.85546875" style="1" bestFit="1" customWidth="1"/>
    <col min="8" max="8" width="25" style="1" bestFit="1" customWidth="1"/>
    <col min="9" max="9" width="11.85546875" style="1" bestFit="1" customWidth="1"/>
    <col min="10" max="10" width="7.85546875" style="1" bestFit="1" customWidth="1"/>
    <col min="11" max="11" width="11.28515625" style="1" bestFit="1" customWidth="1"/>
    <col min="12" max="12" width="17.28515625" style="1" bestFit="1" customWidth="1"/>
    <col min="13" max="13" width="16.28515625" style="1" bestFit="1" customWidth="1"/>
    <col min="14" max="14" width="7.140625" style="1" bestFit="1" customWidth="1"/>
    <col min="15" max="15" width="25.5703125" style="1" bestFit="1" customWidth="1"/>
    <col min="16" max="16" width="15.28515625" style="1" bestFit="1" customWidth="1"/>
    <col min="17" max="17" width="8.42578125" style="1" bestFit="1" customWidth="1"/>
    <col min="18" max="18" width="10.85546875" style="1" bestFit="1" customWidth="1"/>
    <col min="19" max="19" width="13.140625" style="1" bestFit="1" customWidth="1"/>
    <col min="20" max="20" width="11.85546875" style="1" bestFit="1" customWidth="1"/>
    <col min="21" max="21" width="12.5703125" style="1" bestFit="1" customWidth="1"/>
    <col min="22" max="22" width="7.42578125" style="1" bestFit="1" customWidth="1"/>
    <col min="23" max="23" width="9.140625" style="1" bestFit="1" customWidth="1"/>
    <col min="24" max="24" width="17.5703125" style="1" bestFit="1" customWidth="1"/>
    <col min="25" max="25" width="6" style="1" bestFit="1" customWidth="1"/>
    <col min="26" max="26" width="14.28515625" style="1" bestFit="1" customWidth="1"/>
    <col min="27" max="27" width="13.5703125" style="1" bestFit="1" customWidth="1"/>
    <col min="28" max="28" width="12" style="1" bestFit="1" customWidth="1"/>
    <col min="29" max="29" width="15.85546875" style="1" bestFit="1" customWidth="1"/>
    <col min="30" max="30" width="15.85546875" style="1" customWidth="1"/>
    <col min="31" max="31" width="18.5703125" style="1" bestFit="1" customWidth="1"/>
    <col min="32" max="32" width="11" style="1" bestFit="1" customWidth="1"/>
    <col min="33" max="33" width="9.7109375" style="1" bestFit="1" customWidth="1"/>
    <col min="34" max="34" width="5.5703125" style="1" bestFit="1" customWidth="1"/>
    <col min="35" max="35" width="10.140625" style="1" bestFit="1" customWidth="1"/>
    <col min="36" max="16384" width="11.42578125" style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2" t="s">
        <v>56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5">
      <c r="A2" s="1" t="s">
        <v>34</v>
      </c>
      <c r="B2" s="1" t="s">
        <v>35</v>
      </c>
      <c r="C2" s="1" t="str">
        <f>"817"</f>
        <v>817</v>
      </c>
      <c r="D2" s="1" t="s">
        <v>36</v>
      </c>
      <c r="E2" s="1" t="s">
        <v>37</v>
      </c>
      <c r="F2" s="1" t="s">
        <v>38</v>
      </c>
      <c r="G2" s="1" t="str">
        <f>"01"</f>
        <v>01</v>
      </c>
      <c r="H2" s="1" t="s">
        <v>39</v>
      </c>
      <c r="I2" s="1" t="s">
        <v>40</v>
      </c>
      <c r="J2" s="1" t="s">
        <v>41</v>
      </c>
      <c r="K2" s="1">
        <v>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X2" s="1">
        <v>1</v>
      </c>
      <c r="Y2" s="1" t="s">
        <v>52</v>
      </c>
      <c r="Z2" s="1" t="str">
        <f>"7615537560861"</f>
        <v>7615537560861</v>
      </c>
      <c r="AA2" s="1">
        <v>1</v>
      </c>
      <c r="AB2" s="1">
        <v>4</v>
      </c>
      <c r="AC2" s="1">
        <v>4</v>
      </c>
      <c r="AD2" s="1">
        <v>79.95</v>
      </c>
      <c r="AE2" s="1">
        <v>39</v>
      </c>
      <c r="AF2" s="1">
        <v>156</v>
      </c>
      <c r="AG2" s="1">
        <v>1E-3</v>
      </c>
      <c r="AH2" s="1">
        <v>0.06</v>
      </c>
      <c r="AI2" s="1" t="s">
        <v>53</v>
      </c>
    </row>
    <row r="3" spans="1:35" x14ac:dyDescent="0.25">
      <c r="A3" s="1" t="s">
        <v>34</v>
      </c>
      <c r="B3" s="1" t="s">
        <v>35</v>
      </c>
      <c r="C3" s="1" t="str">
        <f>"817"</f>
        <v>817</v>
      </c>
      <c r="D3" s="1" t="s">
        <v>36</v>
      </c>
      <c r="E3" s="1" t="s">
        <v>37</v>
      </c>
      <c r="F3" s="1" t="s">
        <v>38</v>
      </c>
      <c r="G3" s="1" t="str">
        <f>"01"</f>
        <v>01</v>
      </c>
      <c r="H3" s="1" t="s">
        <v>39</v>
      </c>
      <c r="I3" s="1" t="s">
        <v>40</v>
      </c>
      <c r="J3" s="1" t="s">
        <v>41</v>
      </c>
      <c r="K3" s="1">
        <v>2</v>
      </c>
      <c r="L3" s="1" t="s">
        <v>54</v>
      </c>
      <c r="M3" s="1" t="s">
        <v>43</v>
      </c>
      <c r="N3" s="1" t="s">
        <v>55</v>
      </c>
      <c r="O3" s="1" t="s">
        <v>45</v>
      </c>
      <c r="P3" s="1" t="s">
        <v>46</v>
      </c>
      <c r="Q3" s="1" t="s">
        <v>47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52</v>
      </c>
      <c r="X3" s="1">
        <v>1</v>
      </c>
      <c r="Y3" s="1" t="s">
        <v>52</v>
      </c>
      <c r="Z3" s="1" t="str">
        <f>"7615537560878"</f>
        <v>7615537560878</v>
      </c>
      <c r="AA3" s="1">
        <v>1</v>
      </c>
      <c r="AB3" s="1">
        <v>4</v>
      </c>
      <c r="AC3" s="1">
        <v>4</v>
      </c>
      <c r="AD3" s="1">
        <v>79.95</v>
      </c>
      <c r="AE3" s="1">
        <v>39</v>
      </c>
      <c r="AF3" s="1">
        <v>156</v>
      </c>
      <c r="AG3" s="1">
        <v>4.0000000000000001E-3</v>
      </c>
      <c r="AH3" s="1">
        <v>0.06</v>
      </c>
      <c r="AI3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Rivera</cp:lastModifiedBy>
  <dcterms:created xsi:type="dcterms:W3CDTF">2026-08-24T18:50:22Z</dcterms:created>
  <dcterms:modified xsi:type="dcterms:W3CDTF">2026-08-24T18:55:51Z</dcterms:modified>
</cp:coreProperties>
</file>