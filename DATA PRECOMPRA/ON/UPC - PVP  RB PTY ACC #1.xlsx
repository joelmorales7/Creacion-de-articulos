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PTY/"/>
    </mc:Choice>
  </mc:AlternateContent>
  <xr:revisionPtr revIDLastSave="0" documentId="13_ncr:b_{4CB77EC0-B184-4851-9B5B-352319CB15AB}" xr6:coauthVersionLast="47" xr6:coauthVersionMax="47" xr10:uidLastSave="{00000000-0000-0000-0000-000000000000}"/>
  <bookViews>
    <workbookView xWindow="-120" yWindow="-120" windowWidth="20730" windowHeight="11040" xr2:uid="{B080D2FB-144F-4F81-9713-35897756452B}"/>
  </bookViews>
  <sheets>
    <sheet name="UPC" sheetId="1" r:id="rId1"/>
    <sheet name="PVP" sheetId="2" r:id="rId2"/>
  </sheets>
  <calcPr calcId="0"/>
</workbook>
</file>

<file path=xl/calcChain.xml><?xml version="1.0" encoding="utf-8"?>
<calcChain xmlns="http://schemas.openxmlformats.org/spreadsheetml/2006/main">
  <c r="C2" i="1" l="1"/>
  <c r="G2" i="1"/>
  <c r="Z2" i="1"/>
  <c r="C3" i="1"/>
  <c r="G3" i="1"/>
  <c r="Z3" i="1"/>
  <c r="C4" i="1"/>
  <c r="G4" i="1"/>
  <c r="Z4" i="1"/>
  <c r="C5" i="1"/>
  <c r="G5" i="1"/>
  <c r="Z5" i="1"/>
  <c r="C6" i="1"/>
  <c r="G6" i="1"/>
  <c r="Z6" i="1"/>
  <c r="C7" i="1"/>
  <c r="G7" i="1"/>
  <c r="Z7" i="1"/>
  <c r="C8" i="1"/>
  <c r="G8" i="1"/>
  <c r="Z8" i="1"/>
  <c r="C9" i="1"/>
  <c r="G9" i="1"/>
  <c r="Z9" i="1"/>
  <c r="C10" i="1"/>
  <c r="G10" i="1"/>
  <c r="Z10" i="1"/>
  <c r="C11" i="1"/>
  <c r="G11" i="1"/>
  <c r="Z11" i="1"/>
  <c r="C12" i="1"/>
  <c r="G12" i="1"/>
  <c r="Z12" i="1"/>
  <c r="C13" i="1"/>
  <c r="G13" i="1"/>
  <c r="Z13" i="1"/>
  <c r="C14" i="1"/>
  <c r="G14" i="1"/>
  <c r="Z14" i="1"/>
  <c r="C15" i="1"/>
  <c r="G15" i="1"/>
  <c r="Z15" i="1"/>
  <c r="C16" i="1"/>
  <c r="G16" i="1"/>
  <c r="Z16" i="1"/>
  <c r="C17" i="1"/>
  <c r="G17" i="1"/>
  <c r="Z17" i="1"/>
  <c r="C18" i="1"/>
  <c r="G18" i="1"/>
  <c r="Z18" i="1"/>
  <c r="C19" i="1"/>
  <c r="G19" i="1"/>
  <c r="Z19" i="1"/>
  <c r="C20" i="1"/>
  <c r="G20" i="1"/>
  <c r="Z20" i="1"/>
  <c r="C21" i="1"/>
  <c r="G21" i="1"/>
  <c r="Z21" i="1"/>
</calcChain>
</file>

<file path=xl/sharedStrings.xml><?xml version="1.0" encoding="utf-8"?>
<sst xmlns="http://schemas.openxmlformats.org/spreadsheetml/2006/main" count="482" uniqueCount="66">
  <si>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</si>
  <si>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</si>
  <si>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</si>
  <si>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</si>
  <si>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</si>
  <si>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</si>
  <si>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</si>
  <si>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</si>
  <si>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</si>
  <si>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</si>
  <si>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</si>
  <si>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</si>
  <si>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</si>
  <si>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</si>
  <si>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</si>
  <si>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</si>
  <si>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</si>
  <si>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</si>
  <si>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</si>
  <si>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</si>
  <si>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</si>
  <si>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</si>
  <si>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</si>
  <si>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</si>
  <si>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</si>
  <si>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</si>
  <si>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</si>
  <si>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</si>
  <si>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</si>
  <si>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</si>
  <si>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</si>
  <si>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</si>
  <si>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</si>
  <si>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</si>
  <si>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</si>
  <si>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27/01/2026</t>
  </si>
  <si>
    <t>OR-PSS26038</t>
  </si>
  <si>
    <t>32-333</t>
  </si>
  <si>
    <t>RUN THE WORLD INC.</t>
  </si>
  <si>
    <t>Running Balboa Multiplaza</t>
  </si>
  <si>
    <t>S</t>
  </si>
  <si>
    <t>NULO</t>
  </si>
  <si>
    <t>2UF10050813</t>
  </si>
  <si>
    <t>PERFORMANCE RUN SOCK MID</t>
  </si>
  <si>
    <t>WHITE | GLACIER</t>
  </si>
  <si>
    <t>54% POLIAMIDA RECICLADA 38% POLIAMIDA 7% ELASTANO 1% POLIESTER</t>
  </si>
  <si>
    <t>6115.96.00.00.00</t>
  </si>
  <si>
    <t>UNISEX</t>
  </si>
  <si>
    <t>MEDIAS</t>
  </si>
  <si>
    <t>SS26</t>
  </si>
  <si>
    <t>SL</t>
  </si>
  <si>
    <t>M</t>
  </si>
  <si>
    <t>L</t>
  </si>
  <si>
    <t>2UF10050106</t>
  </si>
  <si>
    <t>BLACK | ECLIPSE</t>
  </si>
  <si>
    <t>2UF10054478</t>
  </si>
  <si>
    <t>PEARL | SUNSTONE</t>
  </si>
  <si>
    <t>2UF10040813</t>
  </si>
  <si>
    <t>PERFORMANCE RUN SOCK HIGH</t>
  </si>
  <si>
    <t>51% POLIAMIDA RECICLADA 42% POLIAMIDA 6% ELASTANO 1% POLIESTER</t>
  </si>
  <si>
    <t>2UF10040106</t>
  </si>
  <si>
    <t>2UF10044478</t>
  </si>
  <si>
    <t>2UF10054378</t>
  </si>
  <si>
    <t>DEWBERRY | SAKURA</t>
  </si>
  <si>
    <t>2UF10044378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</si>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</sst>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9EC4-8A5A-473E-AA1D-72298C30F1F5}">
  <sheetPr>
    <tabColor theme="4" tint="0.79998168889431442"/>
  </sheetPr>
  <dimension ref="A1:AH21"/>
  <sheetViews>
    <sheetView tabSelected="1" zoomScale="85" zoomScaleNormal="85" workbookViewId="0">
      <selection activeCell="F12" sqref="F12"/>
    </sheetView>
  </sheetViews>
  <sheetFormatPr baseColWidth="10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2.425781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28.85546875" style="1" bestFit="1" customWidth="1"/>
    <col min="14" max="14" width="19.28515625" style="1" bestFit="1" customWidth="1"/>
    <col min="15" max="15" width="65.140625" style="1" bestFit="1" customWidth="1"/>
    <col min="16" max="16" width="15.28515625" style="1" bestFit="1" customWidth="1"/>
    <col min="17" max="17" width="8.42578125" style="1" bestFit="1" customWidth="1"/>
    <col min="18" max="18" width="10.85546875" style="1" bestFit="1" customWidth="1"/>
    <col min="19" max="19" width="13.14062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18.5703125" style="1" bestFit="1" customWidth="1"/>
    <col min="31" max="31" width="11" style="1" bestFit="1" customWidth="1"/>
    <col min="32" max="32" width="9.7109375" style="1" bestFit="1" customWidth="1"/>
    <col min="33" max="33" width="5.5703125" style="1" bestFit="1" customWidth="1"/>
    <col min="34" max="34" width="5.140625" style="1" bestFit="1" customWidth="1"/>
    <col min="35" max="16384" width="11.425781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35</v>
      </c>
      <c r="C2" s="1" t="str">
        <f t="shared" ref="C2:C21" si="0">"817"</f>
        <v>817</v>
      </c>
      <c r="D2" s="1" t="s">
        <v>36</v>
      </c>
      <c r="E2" s="1" t="s">
        <v>37</v>
      </c>
      <c r="F2" s="1" t="s">
        <v>38</v>
      </c>
      <c r="G2" s="1" t="str">
        <f t="shared" ref="G2:G21" si="1">"01"</f>
        <v>01</v>
      </c>
      <c r="H2" s="1" t="s">
        <v>39</v>
      </c>
      <c r="I2" s="1" t="s">
        <v>40</v>
      </c>
      <c r="J2" s="1" t="s">
        <v>41</v>
      </c>
      <c r="K2" s="1">
        <v>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48</v>
      </c>
      <c r="T2" s="1" t="s">
        <v>49</v>
      </c>
      <c r="U2" s="1" t="s">
        <v>50</v>
      </c>
      <c r="V2" s="1" t="s">
        <v>51</v>
      </c>
      <c r="X2" s="1">
        <v>1</v>
      </c>
      <c r="Y2" s="1" t="s">
        <v>51</v>
      </c>
      <c r="Z2" s="1" t="str">
        <f>"7615537273631"</f>
        <v>7615537273631</v>
      </c>
      <c r="AA2" s="1">
        <v>1</v>
      </c>
      <c r="AB2" s="1">
        <v>12</v>
      </c>
      <c r="AC2" s="1">
        <v>12</v>
      </c>
      <c r="AD2" s="1">
        <v>8</v>
      </c>
      <c r="AE2" s="1">
        <v>96</v>
      </c>
      <c r="AF2" s="1">
        <v>4.0000000000000001E-3</v>
      </c>
      <c r="AG2" s="1">
        <v>0.08</v>
      </c>
      <c r="AH2" s="1" t="s">
        <v>49</v>
      </c>
    </row>
    <row r="3" spans="1:34" x14ac:dyDescent="0.25">
      <c r="A3" s="1" t="s">
        <v>34</v>
      </c>
      <c r="B3" s="1" t="s">
        <v>35</v>
      </c>
      <c r="C3" s="1" t="str">
        <f t="shared" si="0"/>
        <v>817</v>
      </c>
      <c r="D3" s="1" t="s">
        <v>36</v>
      </c>
      <c r="E3" s="1" t="s">
        <v>37</v>
      </c>
      <c r="F3" s="1" t="s">
        <v>38</v>
      </c>
      <c r="G3" s="1" t="str">
        <f t="shared" si="1"/>
        <v>01</v>
      </c>
      <c r="H3" s="1" t="s">
        <v>39</v>
      </c>
      <c r="I3" s="1" t="s">
        <v>40</v>
      </c>
      <c r="J3" s="1" t="s">
        <v>41</v>
      </c>
      <c r="K3" s="1">
        <v>2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48</v>
      </c>
      <c r="T3" s="1" t="s">
        <v>49</v>
      </c>
      <c r="U3" s="1" t="s">
        <v>50</v>
      </c>
      <c r="V3" s="1" t="s">
        <v>52</v>
      </c>
      <c r="X3" s="1">
        <v>1</v>
      </c>
      <c r="Y3" s="1" t="s">
        <v>52</v>
      </c>
      <c r="Z3" s="1" t="str">
        <f>"7615537273648"</f>
        <v>7615537273648</v>
      </c>
      <c r="AA3" s="1">
        <v>1</v>
      </c>
      <c r="AB3" s="1">
        <v>6</v>
      </c>
      <c r="AC3" s="1">
        <v>6</v>
      </c>
      <c r="AD3" s="1">
        <v>8</v>
      </c>
      <c r="AE3" s="1">
        <v>48</v>
      </c>
      <c r="AF3" s="1">
        <v>1E-3</v>
      </c>
      <c r="AG3" s="1">
        <v>0.04</v>
      </c>
      <c r="AH3" s="1" t="s">
        <v>49</v>
      </c>
    </row>
    <row r="4" spans="1:34" x14ac:dyDescent="0.25">
      <c r="A4" s="1" t="s">
        <v>34</v>
      </c>
      <c r="B4" s="1" t="s">
        <v>35</v>
      </c>
      <c r="C4" s="1" t="str">
        <f t="shared" si="0"/>
        <v>817</v>
      </c>
      <c r="D4" s="1" t="s">
        <v>36</v>
      </c>
      <c r="E4" s="1" t="s">
        <v>37</v>
      </c>
      <c r="F4" s="1" t="s">
        <v>38</v>
      </c>
      <c r="G4" s="1" t="str">
        <f t="shared" si="1"/>
        <v>01</v>
      </c>
      <c r="H4" s="1" t="s">
        <v>39</v>
      </c>
      <c r="I4" s="1" t="s">
        <v>40</v>
      </c>
      <c r="J4" s="1" t="s">
        <v>41</v>
      </c>
      <c r="K4" s="1">
        <v>3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48</v>
      </c>
      <c r="T4" s="1" t="s">
        <v>49</v>
      </c>
      <c r="U4" s="1" t="s">
        <v>50</v>
      </c>
      <c r="V4" s="1" t="s">
        <v>40</v>
      </c>
      <c r="X4" s="1">
        <v>1</v>
      </c>
      <c r="Y4" s="1" t="s">
        <v>40</v>
      </c>
      <c r="Z4" s="1" t="str">
        <f>"7615537273624"</f>
        <v>7615537273624</v>
      </c>
      <c r="AA4" s="1">
        <v>1</v>
      </c>
      <c r="AB4" s="1">
        <v>6</v>
      </c>
      <c r="AC4" s="1">
        <v>6</v>
      </c>
      <c r="AD4" s="1">
        <v>8</v>
      </c>
      <c r="AE4" s="1">
        <v>48</v>
      </c>
      <c r="AF4" s="1">
        <v>2E-3</v>
      </c>
      <c r="AG4" s="1">
        <v>0.04</v>
      </c>
      <c r="AH4" s="1" t="s">
        <v>49</v>
      </c>
    </row>
    <row r="5" spans="1:34" x14ac:dyDescent="0.25">
      <c r="A5" s="1" t="s">
        <v>34</v>
      </c>
      <c r="B5" s="1" t="s">
        <v>35</v>
      </c>
      <c r="C5" s="1" t="str">
        <f t="shared" si="0"/>
        <v>817</v>
      </c>
      <c r="D5" s="1" t="s">
        <v>36</v>
      </c>
      <c r="E5" s="1" t="s">
        <v>37</v>
      </c>
      <c r="F5" s="1" t="s">
        <v>38</v>
      </c>
      <c r="G5" s="1" t="str">
        <f t="shared" si="1"/>
        <v>01</v>
      </c>
      <c r="H5" s="1" t="s">
        <v>39</v>
      </c>
      <c r="I5" s="1" t="s">
        <v>40</v>
      </c>
      <c r="J5" s="1" t="s">
        <v>41</v>
      </c>
      <c r="K5" s="1">
        <v>4</v>
      </c>
      <c r="L5" s="1" t="s">
        <v>53</v>
      </c>
      <c r="M5" s="1" t="s">
        <v>43</v>
      </c>
      <c r="N5" s="1" t="s">
        <v>54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48</v>
      </c>
      <c r="T5" s="1" t="s">
        <v>49</v>
      </c>
      <c r="U5" s="1" t="s">
        <v>50</v>
      </c>
      <c r="V5" s="1" t="s">
        <v>51</v>
      </c>
      <c r="X5" s="1">
        <v>1</v>
      </c>
      <c r="Y5" s="1" t="s">
        <v>51</v>
      </c>
      <c r="Z5" s="1" t="str">
        <f>"7615537273679"</f>
        <v>7615537273679</v>
      </c>
      <c r="AA5" s="1">
        <v>1</v>
      </c>
      <c r="AB5" s="1">
        <v>12</v>
      </c>
      <c r="AC5" s="1">
        <v>12</v>
      </c>
      <c r="AD5" s="1">
        <v>8</v>
      </c>
      <c r="AE5" s="1">
        <v>96</v>
      </c>
      <c r="AF5" s="1">
        <v>1E-3</v>
      </c>
      <c r="AG5" s="1">
        <v>0.04</v>
      </c>
      <c r="AH5" s="1" t="s">
        <v>49</v>
      </c>
    </row>
    <row r="6" spans="1:34" x14ac:dyDescent="0.25">
      <c r="A6" s="1" t="s">
        <v>34</v>
      </c>
      <c r="B6" s="1" t="s">
        <v>35</v>
      </c>
      <c r="C6" s="1" t="str">
        <f t="shared" si="0"/>
        <v>817</v>
      </c>
      <c r="D6" s="1" t="s">
        <v>36</v>
      </c>
      <c r="E6" s="1" t="s">
        <v>37</v>
      </c>
      <c r="F6" s="1" t="s">
        <v>38</v>
      </c>
      <c r="G6" s="1" t="str">
        <f t="shared" si="1"/>
        <v>01</v>
      </c>
      <c r="H6" s="1" t="s">
        <v>39</v>
      </c>
      <c r="I6" s="1" t="s">
        <v>40</v>
      </c>
      <c r="J6" s="1" t="s">
        <v>41</v>
      </c>
      <c r="K6" s="1">
        <v>5</v>
      </c>
      <c r="L6" s="1" t="s">
        <v>53</v>
      </c>
      <c r="M6" s="1" t="s">
        <v>43</v>
      </c>
      <c r="N6" s="1" t="s">
        <v>54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48</v>
      </c>
      <c r="T6" s="1" t="s">
        <v>49</v>
      </c>
      <c r="U6" s="1" t="s">
        <v>50</v>
      </c>
      <c r="V6" s="1" t="s">
        <v>52</v>
      </c>
      <c r="X6" s="1">
        <v>1</v>
      </c>
      <c r="Y6" s="1" t="s">
        <v>52</v>
      </c>
      <c r="Z6" s="1" t="str">
        <f>"7615537273686"</f>
        <v>7615537273686</v>
      </c>
      <c r="AA6" s="1">
        <v>1</v>
      </c>
      <c r="AB6" s="1">
        <v>6</v>
      </c>
      <c r="AC6" s="1">
        <v>6</v>
      </c>
      <c r="AD6" s="1">
        <v>8</v>
      </c>
      <c r="AE6" s="1">
        <v>48</v>
      </c>
      <c r="AF6" s="1">
        <v>2E-3</v>
      </c>
      <c r="AG6" s="1">
        <v>0.04</v>
      </c>
      <c r="AH6" s="1" t="s">
        <v>49</v>
      </c>
    </row>
    <row r="7" spans="1:34" x14ac:dyDescent="0.25">
      <c r="A7" s="1" t="s">
        <v>34</v>
      </c>
      <c r="B7" s="1" t="s">
        <v>35</v>
      </c>
      <c r="C7" s="1" t="str">
        <f t="shared" si="0"/>
        <v>817</v>
      </c>
      <c r="D7" s="1" t="s">
        <v>36</v>
      </c>
      <c r="E7" s="1" t="s">
        <v>37</v>
      </c>
      <c r="F7" s="1" t="s">
        <v>38</v>
      </c>
      <c r="G7" s="1" t="str">
        <f t="shared" si="1"/>
        <v>01</v>
      </c>
      <c r="H7" s="1" t="s">
        <v>39</v>
      </c>
      <c r="I7" s="1" t="s">
        <v>40</v>
      </c>
      <c r="J7" s="1" t="s">
        <v>41</v>
      </c>
      <c r="K7" s="1">
        <v>6</v>
      </c>
      <c r="L7" s="1" t="s">
        <v>53</v>
      </c>
      <c r="M7" s="1" t="s">
        <v>43</v>
      </c>
      <c r="N7" s="1" t="s">
        <v>54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48</v>
      </c>
      <c r="T7" s="1" t="s">
        <v>49</v>
      </c>
      <c r="U7" s="1" t="s">
        <v>50</v>
      </c>
      <c r="V7" s="1" t="s">
        <v>40</v>
      </c>
      <c r="X7" s="1">
        <v>1</v>
      </c>
      <c r="Y7" s="1" t="s">
        <v>40</v>
      </c>
      <c r="Z7" s="1" t="str">
        <f>"7615537273662"</f>
        <v>7615537273662</v>
      </c>
      <c r="AA7" s="1">
        <v>1</v>
      </c>
      <c r="AB7" s="1">
        <v>6</v>
      </c>
      <c r="AC7" s="1">
        <v>6</v>
      </c>
      <c r="AD7" s="1">
        <v>8</v>
      </c>
      <c r="AE7" s="1">
        <v>48</v>
      </c>
      <c r="AF7" s="1">
        <v>1E-3</v>
      </c>
      <c r="AG7" s="1">
        <v>0.04</v>
      </c>
      <c r="AH7" s="1" t="s">
        <v>49</v>
      </c>
    </row>
    <row r="8" spans="1:34" x14ac:dyDescent="0.25">
      <c r="A8" s="1" t="s">
        <v>34</v>
      </c>
      <c r="B8" s="1" t="s">
        <v>35</v>
      </c>
      <c r="C8" s="1" t="str">
        <f t="shared" si="0"/>
        <v>817</v>
      </c>
      <c r="D8" s="1" t="s">
        <v>36</v>
      </c>
      <c r="E8" s="1" t="s">
        <v>37</v>
      </c>
      <c r="F8" s="1" t="s">
        <v>38</v>
      </c>
      <c r="G8" s="1" t="str">
        <f t="shared" si="1"/>
        <v>01</v>
      </c>
      <c r="H8" s="1" t="s">
        <v>39</v>
      </c>
      <c r="I8" s="1" t="s">
        <v>40</v>
      </c>
      <c r="J8" s="1" t="s">
        <v>41</v>
      </c>
      <c r="K8" s="1">
        <v>7</v>
      </c>
      <c r="L8" s="1" t="s">
        <v>55</v>
      </c>
      <c r="M8" s="1" t="s">
        <v>43</v>
      </c>
      <c r="N8" s="1" t="s">
        <v>56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48</v>
      </c>
      <c r="T8" s="1" t="s">
        <v>49</v>
      </c>
      <c r="U8" s="1" t="s">
        <v>50</v>
      </c>
      <c r="V8" s="1" t="s">
        <v>51</v>
      </c>
      <c r="X8" s="1">
        <v>1</v>
      </c>
      <c r="Y8" s="1" t="s">
        <v>51</v>
      </c>
      <c r="Z8" s="1" t="str">
        <f>"7615537564050"</f>
        <v>7615537564050</v>
      </c>
      <c r="AA8" s="1">
        <v>1</v>
      </c>
      <c r="AB8" s="1">
        <v>6</v>
      </c>
      <c r="AC8" s="1">
        <v>6</v>
      </c>
      <c r="AD8" s="1">
        <v>8</v>
      </c>
      <c r="AE8" s="1">
        <v>48</v>
      </c>
      <c r="AF8" s="1">
        <v>1E-3</v>
      </c>
      <c r="AG8" s="1">
        <v>0.04</v>
      </c>
      <c r="AH8" s="1" t="s">
        <v>49</v>
      </c>
    </row>
    <row r="9" spans="1:34" x14ac:dyDescent="0.25">
      <c r="A9" s="1" t="s">
        <v>34</v>
      </c>
      <c r="B9" s="1" t="s">
        <v>35</v>
      </c>
      <c r="C9" s="1" t="str">
        <f t="shared" si="0"/>
        <v>817</v>
      </c>
      <c r="D9" s="1" t="s">
        <v>36</v>
      </c>
      <c r="E9" s="1" t="s">
        <v>37</v>
      </c>
      <c r="F9" s="1" t="s">
        <v>38</v>
      </c>
      <c r="G9" s="1" t="str">
        <f t="shared" si="1"/>
        <v>01</v>
      </c>
      <c r="H9" s="1" t="s">
        <v>39</v>
      </c>
      <c r="I9" s="1" t="s">
        <v>40</v>
      </c>
      <c r="J9" s="1" t="s">
        <v>41</v>
      </c>
      <c r="K9" s="1">
        <v>8</v>
      </c>
      <c r="L9" s="1" t="s">
        <v>55</v>
      </c>
      <c r="M9" s="1" t="s">
        <v>43</v>
      </c>
      <c r="N9" s="1" t="s">
        <v>56</v>
      </c>
      <c r="O9" s="1" t="s">
        <v>45</v>
      </c>
      <c r="P9" s="1" t="s">
        <v>46</v>
      </c>
      <c r="Q9" s="1" t="s">
        <v>47</v>
      </c>
      <c r="R9" s="1" t="s">
        <v>48</v>
      </c>
      <c r="S9" s="1" t="s">
        <v>48</v>
      </c>
      <c r="T9" s="1" t="s">
        <v>49</v>
      </c>
      <c r="U9" s="1" t="s">
        <v>50</v>
      </c>
      <c r="V9" s="1" t="s">
        <v>52</v>
      </c>
      <c r="X9" s="1">
        <v>1</v>
      </c>
      <c r="Y9" s="1" t="s">
        <v>52</v>
      </c>
      <c r="Z9" s="1" t="str">
        <f>"7615537564067"</f>
        <v>7615537564067</v>
      </c>
      <c r="AA9" s="1">
        <v>1</v>
      </c>
      <c r="AB9" s="1">
        <v>6</v>
      </c>
      <c r="AC9" s="1">
        <v>6</v>
      </c>
      <c r="AD9" s="1">
        <v>8</v>
      </c>
      <c r="AE9" s="1">
        <v>48</v>
      </c>
      <c r="AF9" s="1">
        <v>2E-3</v>
      </c>
      <c r="AG9" s="1">
        <v>0.04</v>
      </c>
      <c r="AH9" s="1" t="s">
        <v>49</v>
      </c>
    </row>
    <row r="10" spans="1:34" x14ac:dyDescent="0.25">
      <c r="A10" s="1" t="s">
        <v>34</v>
      </c>
      <c r="B10" s="1" t="s">
        <v>35</v>
      </c>
      <c r="C10" s="1" t="str">
        <f t="shared" si="0"/>
        <v>817</v>
      </c>
      <c r="D10" s="1" t="s">
        <v>36</v>
      </c>
      <c r="E10" s="1" t="s">
        <v>37</v>
      </c>
      <c r="F10" s="1" t="s">
        <v>38</v>
      </c>
      <c r="G10" s="1" t="str">
        <f t="shared" si="1"/>
        <v>01</v>
      </c>
      <c r="H10" s="1" t="s">
        <v>39</v>
      </c>
      <c r="I10" s="1" t="s">
        <v>40</v>
      </c>
      <c r="J10" s="1" t="s">
        <v>41</v>
      </c>
      <c r="K10" s="1">
        <v>9</v>
      </c>
      <c r="L10" s="1" t="s">
        <v>57</v>
      </c>
      <c r="M10" s="1" t="s">
        <v>58</v>
      </c>
      <c r="N10" s="1" t="s">
        <v>44</v>
      </c>
      <c r="O10" s="1" t="s">
        <v>59</v>
      </c>
      <c r="P10" s="1" t="s">
        <v>46</v>
      </c>
      <c r="Q10" s="1" t="s">
        <v>47</v>
      </c>
      <c r="R10" s="1" t="s">
        <v>48</v>
      </c>
      <c r="S10" s="1" t="s">
        <v>48</v>
      </c>
      <c r="T10" s="1" t="s">
        <v>49</v>
      </c>
      <c r="U10" s="1" t="s">
        <v>50</v>
      </c>
      <c r="V10" s="1" t="s">
        <v>51</v>
      </c>
      <c r="X10" s="1">
        <v>1</v>
      </c>
      <c r="Y10" s="1" t="s">
        <v>51</v>
      </c>
      <c r="Z10" s="1" t="str">
        <f>"7615537273273"</f>
        <v>7615537273273</v>
      </c>
      <c r="AA10" s="1">
        <v>1</v>
      </c>
      <c r="AB10" s="1">
        <v>12</v>
      </c>
      <c r="AC10" s="1">
        <v>12</v>
      </c>
      <c r="AD10" s="1">
        <v>9</v>
      </c>
      <c r="AE10" s="1">
        <v>108</v>
      </c>
      <c r="AF10" s="1">
        <v>1E-3</v>
      </c>
      <c r="AG10" s="1">
        <v>0.06</v>
      </c>
      <c r="AH10" s="1" t="s">
        <v>49</v>
      </c>
    </row>
    <row r="11" spans="1:34" x14ac:dyDescent="0.25">
      <c r="A11" s="1" t="s">
        <v>34</v>
      </c>
      <c r="B11" s="1" t="s">
        <v>35</v>
      </c>
      <c r="C11" s="1" t="str">
        <f t="shared" si="0"/>
        <v>817</v>
      </c>
      <c r="D11" s="1" t="s">
        <v>36</v>
      </c>
      <c r="E11" s="1" t="s">
        <v>37</v>
      </c>
      <c r="F11" s="1" t="s">
        <v>38</v>
      </c>
      <c r="G11" s="1" t="str">
        <f t="shared" si="1"/>
        <v>01</v>
      </c>
      <c r="H11" s="1" t="s">
        <v>39</v>
      </c>
      <c r="I11" s="1" t="s">
        <v>40</v>
      </c>
      <c r="J11" s="1" t="s">
        <v>41</v>
      </c>
      <c r="K11" s="1">
        <v>10</v>
      </c>
      <c r="L11" s="1" t="s">
        <v>57</v>
      </c>
      <c r="M11" s="1" t="s">
        <v>58</v>
      </c>
      <c r="N11" s="1" t="s">
        <v>44</v>
      </c>
      <c r="O11" s="1" t="s">
        <v>59</v>
      </c>
      <c r="P11" s="1" t="s">
        <v>46</v>
      </c>
      <c r="Q11" s="1" t="s">
        <v>47</v>
      </c>
      <c r="R11" s="1" t="s">
        <v>48</v>
      </c>
      <c r="S11" s="1" t="s">
        <v>48</v>
      </c>
      <c r="T11" s="1" t="s">
        <v>49</v>
      </c>
      <c r="U11" s="1" t="s">
        <v>50</v>
      </c>
      <c r="V11" s="1" t="s">
        <v>52</v>
      </c>
      <c r="X11" s="1">
        <v>1</v>
      </c>
      <c r="Y11" s="1" t="s">
        <v>52</v>
      </c>
      <c r="Z11" s="1" t="str">
        <f>"7615537273280"</f>
        <v>7615537273280</v>
      </c>
      <c r="AA11" s="1">
        <v>1</v>
      </c>
      <c r="AB11" s="1">
        <v>6</v>
      </c>
      <c r="AC11" s="1">
        <v>6</v>
      </c>
      <c r="AD11" s="1">
        <v>9</v>
      </c>
      <c r="AE11" s="1">
        <v>54</v>
      </c>
      <c r="AF11" s="1">
        <v>1E-3</v>
      </c>
      <c r="AG11" s="1">
        <v>0.04</v>
      </c>
      <c r="AH11" s="1" t="s">
        <v>49</v>
      </c>
    </row>
    <row r="12" spans="1:34" x14ac:dyDescent="0.25">
      <c r="A12" s="1" t="s">
        <v>34</v>
      </c>
      <c r="B12" s="1" t="s">
        <v>35</v>
      </c>
      <c r="C12" s="1" t="str">
        <f t="shared" si="0"/>
        <v>817</v>
      </c>
      <c r="D12" s="1" t="s">
        <v>36</v>
      </c>
      <c r="E12" s="1" t="s">
        <v>37</v>
      </c>
      <c r="F12" s="1" t="s">
        <v>38</v>
      </c>
      <c r="G12" s="1" t="str">
        <f t="shared" si="1"/>
        <v>01</v>
      </c>
      <c r="H12" s="1" t="s">
        <v>39</v>
      </c>
      <c r="I12" s="1" t="s">
        <v>40</v>
      </c>
      <c r="J12" s="1" t="s">
        <v>41</v>
      </c>
      <c r="K12" s="1">
        <v>11</v>
      </c>
      <c r="L12" s="1" t="s">
        <v>57</v>
      </c>
      <c r="M12" s="1" t="s">
        <v>58</v>
      </c>
      <c r="N12" s="1" t="s">
        <v>44</v>
      </c>
      <c r="O12" s="1" t="s">
        <v>59</v>
      </c>
      <c r="P12" s="1" t="s">
        <v>46</v>
      </c>
      <c r="Q12" s="1" t="s">
        <v>47</v>
      </c>
      <c r="R12" s="1" t="s">
        <v>48</v>
      </c>
      <c r="S12" s="1" t="s">
        <v>48</v>
      </c>
      <c r="T12" s="1" t="s">
        <v>49</v>
      </c>
      <c r="U12" s="1" t="s">
        <v>50</v>
      </c>
      <c r="V12" s="1" t="s">
        <v>40</v>
      </c>
      <c r="X12" s="1">
        <v>1</v>
      </c>
      <c r="Y12" s="1" t="s">
        <v>40</v>
      </c>
      <c r="Z12" s="1" t="str">
        <f>"7615537273266"</f>
        <v>7615537273266</v>
      </c>
      <c r="AA12" s="1">
        <v>1</v>
      </c>
      <c r="AB12" s="1">
        <v>6</v>
      </c>
      <c r="AC12" s="1">
        <v>6</v>
      </c>
      <c r="AD12" s="1">
        <v>9</v>
      </c>
      <c r="AE12" s="1">
        <v>54</v>
      </c>
      <c r="AF12" s="1">
        <v>1E-3</v>
      </c>
      <c r="AG12" s="1">
        <v>0.04</v>
      </c>
      <c r="AH12" s="1" t="s">
        <v>49</v>
      </c>
    </row>
    <row r="13" spans="1:34" x14ac:dyDescent="0.25">
      <c r="A13" s="1" t="s">
        <v>34</v>
      </c>
      <c r="B13" s="1" t="s">
        <v>35</v>
      </c>
      <c r="C13" s="1" t="str">
        <f t="shared" si="0"/>
        <v>817</v>
      </c>
      <c r="D13" s="1" t="s">
        <v>36</v>
      </c>
      <c r="E13" s="1" t="s">
        <v>37</v>
      </c>
      <c r="F13" s="1" t="s">
        <v>38</v>
      </c>
      <c r="G13" s="1" t="str">
        <f t="shared" si="1"/>
        <v>01</v>
      </c>
      <c r="H13" s="1" t="s">
        <v>39</v>
      </c>
      <c r="I13" s="1" t="s">
        <v>40</v>
      </c>
      <c r="J13" s="1" t="s">
        <v>41</v>
      </c>
      <c r="K13" s="1">
        <v>12</v>
      </c>
      <c r="L13" s="1" t="s">
        <v>60</v>
      </c>
      <c r="M13" s="1" t="s">
        <v>58</v>
      </c>
      <c r="N13" s="1" t="s">
        <v>54</v>
      </c>
      <c r="O13" s="1" t="s">
        <v>59</v>
      </c>
      <c r="P13" s="1" t="s">
        <v>46</v>
      </c>
      <c r="Q13" s="1" t="s">
        <v>47</v>
      </c>
      <c r="R13" s="1" t="s">
        <v>48</v>
      </c>
      <c r="S13" s="1" t="s">
        <v>48</v>
      </c>
      <c r="T13" s="1" t="s">
        <v>49</v>
      </c>
      <c r="U13" s="1" t="s">
        <v>50</v>
      </c>
      <c r="V13" s="1" t="s">
        <v>51</v>
      </c>
      <c r="X13" s="1">
        <v>1</v>
      </c>
      <c r="Y13" s="1" t="s">
        <v>51</v>
      </c>
      <c r="Z13" s="1" t="str">
        <f>"7615537273310"</f>
        <v>7615537273310</v>
      </c>
      <c r="AA13" s="1">
        <v>1</v>
      </c>
      <c r="AB13" s="1">
        <v>12</v>
      </c>
      <c r="AC13" s="1">
        <v>12</v>
      </c>
      <c r="AD13" s="1">
        <v>9</v>
      </c>
      <c r="AE13" s="1">
        <v>108</v>
      </c>
      <c r="AF13" s="1">
        <v>1E-3</v>
      </c>
      <c r="AG13" s="1">
        <v>0.04</v>
      </c>
      <c r="AH13" s="1" t="s">
        <v>49</v>
      </c>
    </row>
    <row r="14" spans="1:34" x14ac:dyDescent="0.25">
      <c r="A14" s="1" t="s">
        <v>34</v>
      </c>
      <c r="B14" s="1" t="s">
        <v>35</v>
      </c>
      <c r="C14" s="1" t="str">
        <f t="shared" si="0"/>
        <v>817</v>
      </c>
      <c r="D14" s="1" t="s">
        <v>36</v>
      </c>
      <c r="E14" s="1" t="s">
        <v>37</v>
      </c>
      <c r="F14" s="1" t="s">
        <v>38</v>
      </c>
      <c r="G14" s="1" t="str">
        <f t="shared" si="1"/>
        <v>01</v>
      </c>
      <c r="H14" s="1" t="s">
        <v>39</v>
      </c>
      <c r="I14" s="1" t="s">
        <v>40</v>
      </c>
      <c r="J14" s="1" t="s">
        <v>41</v>
      </c>
      <c r="K14" s="1">
        <v>13</v>
      </c>
      <c r="L14" s="1" t="s">
        <v>60</v>
      </c>
      <c r="M14" s="1" t="s">
        <v>58</v>
      </c>
      <c r="N14" s="1" t="s">
        <v>54</v>
      </c>
      <c r="O14" s="1" t="s">
        <v>59</v>
      </c>
      <c r="P14" s="1" t="s">
        <v>46</v>
      </c>
      <c r="Q14" s="1" t="s">
        <v>47</v>
      </c>
      <c r="R14" s="1" t="s">
        <v>48</v>
      </c>
      <c r="S14" s="1" t="s">
        <v>48</v>
      </c>
      <c r="T14" s="1" t="s">
        <v>49</v>
      </c>
      <c r="U14" s="1" t="s">
        <v>50</v>
      </c>
      <c r="V14" s="1" t="s">
        <v>52</v>
      </c>
      <c r="X14" s="1">
        <v>1</v>
      </c>
      <c r="Y14" s="1" t="s">
        <v>52</v>
      </c>
      <c r="Z14" s="1" t="str">
        <f>"7615537273327"</f>
        <v>7615537273327</v>
      </c>
      <c r="AA14" s="1">
        <v>1</v>
      </c>
      <c r="AB14" s="1">
        <v>6</v>
      </c>
      <c r="AC14" s="1">
        <v>6</v>
      </c>
      <c r="AD14" s="1">
        <v>9</v>
      </c>
      <c r="AE14" s="1">
        <v>54</v>
      </c>
      <c r="AF14" s="1">
        <v>1E-3</v>
      </c>
      <c r="AG14" s="1">
        <v>0.06</v>
      </c>
      <c r="AH14" s="1" t="s">
        <v>49</v>
      </c>
    </row>
    <row r="15" spans="1:34" x14ac:dyDescent="0.25">
      <c r="A15" s="1" t="s">
        <v>34</v>
      </c>
      <c r="B15" s="1" t="s">
        <v>35</v>
      </c>
      <c r="C15" s="1" t="str">
        <f t="shared" si="0"/>
        <v>817</v>
      </c>
      <c r="D15" s="1" t="s">
        <v>36</v>
      </c>
      <c r="E15" s="1" t="s">
        <v>37</v>
      </c>
      <c r="F15" s="1" t="s">
        <v>38</v>
      </c>
      <c r="G15" s="1" t="str">
        <f t="shared" si="1"/>
        <v>01</v>
      </c>
      <c r="H15" s="1" t="s">
        <v>39</v>
      </c>
      <c r="I15" s="1" t="s">
        <v>40</v>
      </c>
      <c r="J15" s="1" t="s">
        <v>41</v>
      </c>
      <c r="K15" s="1">
        <v>14</v>
      </c>
      <c r="L15" s="1" t="s">
        <v>60</v>
      </c>
      <c r="M15" s="1" t="s">
        <v>58</v>
      </c>
      <c r="N15" s="1" t="s">
        <v>54</v>
      </c>
      <c r="O15" s="1" t="s">
        <v>59</v>
      </c>
      <c r="P15" s="1" t="s">
        <v>46</v>
      </c>
      <c r="Q15" s="1" t="s">
        <v>47</v>
      </c>
      <c r="R15" s="1" t="s">
        <v>48</v>
      </c>
      <c r="S15" s="1" t="s">
        <v>48</v>
      </c>
      <c r="T15" s="1" t="s">
        <v>49</v>
      </c>
      <c r="U15" s="1" t="s">
        <v>50</v>
      </c>
      <c r="V15" s="1" t="s">
        <v>40</v>
      </c>
      <c r="X15" s="1">
        <v>1</v>
      </c>
      <c r="Y15" s="1" t="s">
        <v>40</v>
      </c>
      <c r="Z15" s="1" t="str">
        <f>"7615537273303"</f>
        <v>7615537273303</v>
      </c>
      <c r="AA15" s="1">
        <v>1</v>
      </c>
      <c r="AB15" s="1">
        <v>6</v>
      </c>
      <c r="AC15" s="1">
        <v>6</v>
      </c>
      <c r="AD15" s="1">
        <v>9</v>
      </c>
      <c r="AE15" s="1">
        <v>54</v>
      </c>
      <c r="AF15" s="1">
        <v>1E-3</v>
      </c>
      <c r="AG15" s="1">
        <v>0.04</v>
      </c>
      <c r="AH15" s="1" t="s">
        <v>49</v>
      </c>
    </row>
    <row r="16" spans="1:34" x14ac:dyDescent="0.25">
      <c r="A16" s="1" t="s">
        <v>34</v>
      </c>
      <c r="B16" s="1" t="s">
        <v>35</v>
      </c>
      <c r="C16" s="1" t="str">
        <f t="shared" si="0"/>
        <v>817</v>
      </c>
      <c r="D16" s="1" t="s">
        <v>36</v>
      </c>
      <c r="E16" s="1" t="s">
        <v>37</v>
      </c>
      <c r="F16" s="1" t="s">
        <v>38</v>
      </c>
      <c r="G16" s="1" t="str">
        <f t="shared" si="1"/>
        <v>01</v>
      </c>
      <c r="H16" s="1" t="s">
        <v>39</v>
      </c>
      <c r="I16" s="1" t="s">
        <v>40</v>
      </c>
      <c r="J16" s="1" t="s">
        <v>41</v>
      </c>
      <c r="K16" s="1">
        <v>15</v>
      </c>
      <c r="L16" s="1" t="s">
        <v>61</v>
      </c>
      <c r="M16" s="1" t="s">
        <v>58</v>
      </c>
      <c r="N16" s="1" t="s">
        <v>56</v>
      </c>
      <c r="O16" s="1" t="s">
        <v>59</v>
      </c>
      <c r="P16" s="1" t="s">
        <v>46</v>
      </c>
      <c r="Q16" s="1" t="s">
        <v>47</v>
      </c>
      <c r="R16" s="1" t="s">
        <v>48</v>
      </c>
      <c r="S16" s="1" t="s">
        <v>48</v>
      </c>
      <c r="T16" s="1" t="s">
        <v>49</v>
      </c>
      <c r="U16" s="1" t="s">
        <v>50</v>
      </c>
      <c r="V16" s="1" t="s">
        <v>51</v>
      </c>
      <c r="X16" s="1">
        <v>1</v>
      </c>
      <c r="Y16" s="1" t="s">
        <v>51</v>
      </c>
      <c r="Z16" s="1" t="str">
        <f>"7615537563893"</f>
        <v>7615537563893</v>
      </c>
      <c r="AA16" s="1">
        <v>1</v>
      </c>
      <c r="AB16" s="1">
        <v>6</v>
      </c>
      <c r="AC16" s="1">
        <v>6</v>
      </c>
      <c r="AD16" s="1">
        <v>9</v>
      </c>
      <c r="AE16" s="1">
        <v>54</v>
      </c>
      <c r="AF16" s="1">
        <v>2E-3</v>
      </c>
      <c r="AG16" s="1">
        <v>0.04</v>
      </c>
      <c r="AH16" s="1" t="s">
        <v>49</v>
      </c>
    </row>
    <row r="17" spans="1:34" x14ac:dyDescent="0.25">
      <c r="A17" s="1" t="s">
        <v>34</v>
      </c>
      <c r="B17" s="1" t="s">
        <v>35</v>
      </c>
      <c r="C17" s="1" t="str">
        <f t="shared" si="0"/>
        <v>817</v>
      </c>
      <c r="D17" s="1" t="s">
        <v>36</v>
      </c>
      <c r="E17" s="1" t="s">
        <v>37</v>
      </c>
      <c r="F17" s="1" t="s">
        <v>38</v>
      </c>
      <c r="G17" s="1" t="str">
        <f t="shared" si="1"/>
        <v>01</v>
      </c>
      <c r="H17" s="1" t="s">
        <v>39</v>
      </c>
      <c r="I17" s="1" t="s">
        <v>40</v>
      </c>
      <c r="J17" s="1" t="s">
        <v>41</v>
      </c>
      <c r="K17" s="1">
        <v>16</v>
      </c>
      <c r="L17" s="1" t="s">
        <v>61</v>
      </c>
      <c r="M17" s="1" t="s">
        <v>58</v>
      </c>
      <c r="N17" s="1" t="s">
        <v>56</v>
      </c>
      <c r="O17" s="1" t="s">
        <v>59</v>
      </c>
      <c r="P17" s="1" t="s">
        <v>46</v>
      </c>
      <c r="Q17" s="1" t="s">
        <v>47</v>
      </c>
      <c r="R17" s="1" t="s">
        <v>48</v>
      </c>
      <c r="S17" s="1" t="s">
        <v>48</v>
      </c>
      <c r="T17" s="1" t="s">
        <v>49</v>
      </c>
      <c r="U17" s="1" t="s">
        <v>50</v>
      </c>
      <c r="V17" s="1" t="s">
        <v>52</v>
      </c>
      <c r="X17" s="1">
        <v>1</v>
      </c>
      <c r="Y17" s="1" t="s">
        <v>52</v>
      </c>
      <c r="Z17" s="1" t="str">
        <f>"7615537563909"</f>
        <v>7615537563909</v>
      </c>
      <c r="AA17" s="1">
        <v>1</v>
      </c>
      <c r="AB17" s="1">
        <v>6</v>
      </c>
      <c r="AC17" s="1">
        <v>6</v>
      </c>
      <c r="AD17" s="1">
        <v>9</v>
      </c>
      <c r="AE17" s="1">
        <v>54</v>
      </c>
      <c r="AF17" s="1">
        <v>1E-3</v>
      </c>
      <c r="AG17" s="1">
        <v>0.04</v>
      </c>
      <c r="AH17" s="1" t="s">
        <v>49</v>
      </c>
    </row>
    <row r="18" spans="1:34" x14ac:dyDescent="0.25">
      <c r="A18" s="1" t="s">
        <v>34</v>
      </c>
      <c r="B18" s="1" t="s">
        <v>35</v>
      </c>
      <c r="C18" s="1" t="str">
        <f t="shared" si="0"/>
        <v>817</v>
      </c>
      <c r="D18" s="1" t="s">
        <v>36</v>
      </c>
      <c r="E18" s="1" t="s">
        <v>37</v>
      </c>
      <c r="F18" s="1" t="s">
        <v>38</v>
      </c>
      <c r="G18" s="1" t="str">
        <f t="shared" si="1"/>
        <v>01</v>
      </c>
      <c r="H18" s="1" t="s">
        <v>39</v>
      </c>
      <c r="I18" s="1" t="s">
        <v>40</v>
      </c>
      <c r="J18" s="1" t="s">
        <v>41</v>
      </c>
      <c r="K18" s="1">
        <v>17</v>
      </c>
      <c r="L18" s="1" t="s">
        <v>62</v>
      </c>
      <c r="M18" s="1" t="s">
        <v>43</v>
      </c>
      <c r="N18" s="1" t="s">
        <v>63</v>
      </c>
      <c r="O18" s="1" t="s">
        <v>45</v>
      </c>
      <c r="P18" s="1" t="s">
        <v>46</v>
      </c>
      <c r="Q18" s="1" t="s">
        <v>47</v>
      </c>
      <c r="R18" s="1" t="s">
        <v>48</v>
      </c>
      <c r="S18" s="1" t="s">
        <v>48</v>
      </c>
      <c r="T18" s="1" t="s">
        <v>49</v>
      </c>
      <c r="U18" s="1" t="s">
        <v>50</v>
      </c>
      <c r="V18" s="1" t="s">
        <v>51</v>
      </c>
      <c r="X18" s="1">
        <v>1</v>
      </c>
      <c r="Y18" s="1" t="s">
        <v>51</v>
      </c>
      <c r="Z18" s="1" t="str">
        <f>"7615537564104"</f>
        <v>7615537564104</v>
      </c>
      <c r="AA18" s="1">
        <v>1</v>
      </c>
      <c r="AB18" s="1">
        <v>6</v>
      </c>
      <c r="AC18" s="1">
        <v>6</v>
      </c>
      <c r="AD18" s="1">
        <v>8</v>
      </c>
      <c r="AE18" s="1">
        <v>48</v>
      </c>
      <c r="AF18" s="1">
        <v>1E-3</v>
      </c>
      <c r="AG18" s="1">
        <v>0.1</v>
      </c>
      <c r="AH18" s="1" t="s">
        <v>49</v>
      </c>
    </row>
    <row r="19" spans="1:34" x14ac:dyDescent="0.25">
      <c r="A19" s="1" t="s">
        <v>34</v>
      </c>
      <c r="B19" s="1" t="s">
        <v>35</v>
      </c>
      <c r="C19" s="1" t="str">
        <f t="shared" si="0"/>
        <v>817</v>
      </c>
      <c r="D19" s="1" t="s">
        <v>36</v>
      </c>
      <c r="E19" s="1" t="s">
        <v>37</v>
      </c>
      <c r="F19" s="1" t="s">
        <v>38</v>
      </c>
      <c r="G19" s="1" t="str">
        <f t="shared" si="1"/>
        <v>01</v>
      </c>
      <c r="H19" s="1" t="s">
        <v>39</v>
      </c>
      <c r="I19" s="1" t="s">
        <v>40</v>
      </c>
      <c r="J19" s="1" t="s">
        <v>41</v>
      </c>
      <c r="K19" s="1">
        <v>18</v>
      </c>
      <c r="L19" s="1" t="s">
        <v>62</v>
      </c>
      <c r="M19" s="1" t="s">
        <v>43</v>
      </c>
      <c r="N19" s="1" t="s">
        <v>63</v>
      </c>
      <c r="O19" s="1" t="s">
        <v>45</v>
      </c>
      <c r="P19" s="1" t="s">
        <v>46</v>
      </c>
      <c r="Q19" s="1" t="s">
        <v>47</v>
      </c>
      <c r="R19" s="1" t="s">
        <v>48</v>
      </c>
      <c r="S19" s="1" t="s">
        <v>48</v>
      </c>
      <c r="T19" s="1" t="s">
        <v>49</v>
      </c>
      <c r="U19" s="1" t="s">
        <v>50</v>
      </c>
      <c r="V19" s="1" t="s">
        <v>40</v>
      </c>
      <c r="X19" s="1">
        <v>1</v>
      </c>
      <c r="Y19" s="1" t="s">
        <v>40</v>
      </c>
      <c r="Z19" s="1" t="str">
        <f>"7615537564098"</f>
        <v>7615537564098</v>
      </c>
      <c r="AA19" s="1">
        <v>1</v>
      </c>
      <c r="AB19" s="1">
        <v>6</v>
      </c>
      <c r="AC19" s="1">
        <v>6</v>
      </c>
      <c r="AD19" s="1">
        <v>8</v>
      </c>
      <c r="AE19" s="1">
        <v>48</v>
      </c>
      <c r="AF19" s="1">
        <v>1E-3</v>
      </c>
      <c r="AG19" s="1">
        <v>0.04</v>
      </c>
      <c r="AH19" s="1" t="s">
        <v>49</v>
      </c>
    </row>
    <row r="20" spans="1:34" x14ac:dyDescent="0.25">
      <c r="A20" s="1" t="s">
        <v>34</v>
      </c>
      <c r="B20" s="1" t="s">
        <v>35</v>
      </c>
      <c r="C20" s="1" t="str">
        <f t="shared" si="0"/>
        <v>817</v>
      </c>
      <c r="D20" s="1" t="s">
        <v>36</v>
      </c>
      <c r="E20" s="1" t="s">
        <v>37</v>
      </c>
      <c r="F20" s="1" t="s">
        <v>38</v>
      </c>
      <c r="G20" s="1" t="str">
        <f t="shared" si="1"/>
        <v>01</v>
      </c>
      <c r="H20" s="1" t="s">
        <v>39</v>
      </c>
      <c r="I20" s="1" t="s">
        <v>40</v>
      </c>
      <c r="J20" s="1" t="s">
        <v>41</v>
      </c>
      <c r="K20" s="1">
        <v>19</v>
      </c>
      <c r="L20" s="1" t="s">
        <v>64</v>
      </c>
      <c r="M20" s="1" t="s">
        <v>58</v>
      </c>
      <c r="N20" s="1" t="s">
        <v>63</v>
      </c>
      <c r="O20" s="1" t="s">
        <v>59</v>
      </c>
      <c r="P20" s="1" t="s">
        <v>46</v>
      </c>
      <c r="Q20" s="1" t="s">
        <v>47</v>
      </c>
      <c r="R20" s="1" t="s">
        <v>48</v>
      </c>
      <c r="S20" s="1" t="s">
        <v>48</v>
      </c>
      <c r="T20" s="1" t="s">
        <v>49</v>
      </c>
      <c r="U20" s="1" t="s">
        <v>50</v>
      </c>
      <c r="V20" s="1" t="s">
        <v>51</v>
      </c>
      <c r="X20" s="1">
        <v>1</v>
      </c>
      <c r="Y20" s="1" t="s">
        <v>51</v>
      </c>
      <c r="Z20" s="1" t="str">
        <f>"7615537563947"</f>
        <v>7615537563947</v>
      </c>
      <c r="AA20" s="1">
        <v>1</v>
      </c>
      <c r="AB20" s="1">
        <v>6</v>
      </c>
      <c r="AC20" s="1">
        <v>6</v>
      </c>
      <c r="AD20" s="1">
        <v>9</v>
      </c>
      <c r="AE20" s="1">
        <v>54</v>
      </c>
      <c r="AF20" s="1">
        <v>1E-3</v>
      </c>
      <c r="AG20" s="1">
        <v>0.04</v>
      </c>
      <c r="AH20" s="1" t="s">
        <v>49</v>
      </c>
    </row>
    <row r="21" spans="1:34" x14ac:dyDescent="0.25">
      <c r="A21" s="1" t="s">
        <v>34</v>
      </c>
      <c r="B21" s="1" t="s">
        <v>35</v>
      </c>
      <c r="C21" s="1" t="str">
        <f t="shared" si="0"/>
        <v>817</v>
      </c>
      <c r="D21" s="1" t="s">
        <v>36</v>
      </c>
      <c r="E21" s="1" t="s">
        <v>37</v>
      </c>
      <c r="F21" s="1" t="s">
        <v>38</v>
      </c>
      <c r="G21" s="1" t="str">
        <f t="shared" si="1"/>
        <v>01</v>
      </c>
      <c r="H21" s="1" t="s">
        <v>39</v>
      </c>
      <c r="I21" s="1" t="s">
        <v>40</v>
      </c>
      <c r="J21" s="1" t="s">
        <v>41</v>
      </c>
      <c r="K21" s="1">
        <v>20</v>
      </c>
      <c r="L21" s="1" t="s">
        <v>64</v>
      </c>
      <c r="M21" s="1" t="s">
        <v>58</v>
      </c>
      <c r="N21" s="1" t="s">
        <v>63</v>
      </c>
      <c r="O21" s="1" t="s">
        <v>59</v>
      </c>
      <c r="P21" s="1" t="s">
        <v>46</v>
      </c>
      <c r="Q21" s="1" t="s">
        <v>47</v>
      </c>
      <c r="R21" s="1" t="s">
        <v>48</v>
      </c>
      <c r="S21" s="1" t="s">
        <v>48</v>
      </c>
      <c r="T21" s="1" t="s">
        <v>49</v>
      </c>
      <c r="U21" s="1" t="s">
        <v>50</v>
      </c>
      <c r="V21" s="1" t="s">
        <v>40</v>
      </c>
      <c r="X21" s="1">
        <v>1</v>
      </c>
      <c r="Y21" s="1" t="s">
        <v>40</v>
      </c>
      <c r="Z21" s="1" t="str">
        <f>"7615537563930"</f>
        <v>7615537563930</v>
      </c>
      <c r="AA21" s="1">
        <v>1</v>
      </c>
      <c r="AB21" s="1">
        <v>6</v>
      </c>
      <c r="AC21" s="1">
        <v>6</v>
      </c>
      <c r="AD21" s="1">
        <v>9</v>
      </c>
      <c r="AE21" s="1">
        <v>54</v>
      </c>
      <c r="AF21" s="1">
        <v>1E-3</v>
      </c>
      <c r="AG21" s="1">
        <v>0.04</v>
      </c>
      <c r="AH21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A908-C728-49CF-B4D6-CBE33BC79E19}">
  <sheetPr>
    <tabColor theme="4" tint="0.79998168889431442"/>
  </sheetPr>
  <dimension ref="A1:D9"/>
  <sheetViews>
    <sheetView workbookViewId="0">
      <selection activeCell="E10" sqref="E10"/>
    </sheetView>
  </sheetViews>
  <sheetFormatPr baseColWidth="10" defaultRowHeight="15" x14ac:dyDescent="0.25"/>
  <cols>
    <col min="1" max="1" width="17.28515625" style="1" bestFit="1" customWidth="1"/>
    <col min="2" max="2" width="28.85546875" style="1" bestFit="1" customWidth="1"/>
    <col min="3" max="3" width="19.28515625" style="1" bestFit="1" customWidth="1"/>
    <col min="4" max="16384" width="11.42578125" style="1"/>
  </cols>
  <sheetData>
    <row r="1" spans="1:4" x14ac:dyDescent="0.25">
      <c r="A1" s="3" t="s">
        <v>11</v>
      </c>
      <c r="B1" s="3" t="s">
        <v>12</v>
      </c>
      <c r="C1" s="3" t="s">
        <v>13</v>
      </c>
      <c r="D1" s="3" t="s">
        <v>65</v>
      </c>
    </row>
    <row r="2" spans="1:4" x14ac:dyDescent="0.25">
      <c r="A2" s="4" t="s">
        <v>60</v>
      </c>
      <c r="B2" s="4" t="s">
        <v>58</v>
      </c>
      <c r="C2" s="4" t="s">
        <v>54</v>
      </c>
      <c r="D2" s="4">
        <v>29.95</v>
      </c>
    </row>
    <row r="3" spans="1:4" x14ac:dyDescent="0.25">
      <c r="A3" s="4" t="s">
        <v>57</v>
      </c>
      <c r="B3" s="4" t="s">
        <v>58</v>
      </c>
      <c r="C3" s="4" t="s">
        <v>44</v>
      </c>
      <c r="D3" s="4">
        <v>29.95</v>
      </c>
    </row>
    <row r="4" spans="1:4" x14ac:dyDescent="0.25">
      <c r="A4" s="4" t="s">
        <v>64</v>
      </c>
      <c r="B4" s="4" t="s">
        <v>58</v>
      </c>
      <c r="C4" s="4" t="s">
        <v>63</v>
      </c>
      <c r="D4" s="4">
        <v>29.95</v>
      </c>
    </row>
    <row r="5" spans="1:4" x14ac:dyDescent="0.25">
      <c r="A5" s="4" t="s">
        <v>61</v>
      </c>
      <c r="B5" s="4" t="s">
        <v>58</v>
      </c>
      <c r="C5" s="4" t="s">
        <v>56</v>
      </c>
      <c r="D5" s="4">
        <v>29.95</v>
      </c>
    </row>
    <row r="6" spans="1:4" x14ac:dyDescent="0.25">
      <c r="A6" s="4" t="s">
        <v>53</v>
      </c>
      <c r="B6" s="4" t="s">
        <v>43</v>
      </c>
      <c r="C6" s="4" t="s">
        <v>54</v>
      </c>
      <c r="D6" s="4">
        <v>26.95</v>
      </c>
    </row>
    <row r="7" spans="1:4" x14ac:dyDescent="0.25">
      <c r="A7" s="4" t="s">
        <v>42</v>
      </c>
      <c r="B7" s="4" t="s">
        <v>43</v>
      </c>
      <c r="C7" s="4" t="s">
        <v>44</v>
      </c>
      <c r="D7" s="4">
        <v>26.95</v>
      </c>
    </row>
    <row r="8" spans="1:4" x14ac:dyDescent="0.25">
      <c r="A8" s="4" t="s">
        <v>62</v>
      </c>
      <c r="B8" s="4" t="s">
        <v>43</v>
      </c>
      <c r="C8" s="4" t="s">
        <v>63</v>
      </c>
      <c r="D8" s="4">
        <v>26.95</v>
      </c>
    </row>
    <row r="9" spans="1:4" x14ac:dyDescent="0.25">
      <c r="A9" s="4" t="s">
        <v>55</v>
      </c>
      <c r="B9" s="4" t="s">
        <v>43</v>
      </c>
      <c r="C9" s="4" t="s">
        <v>56</v>
      </c>
      <c r="D9" s="4">
        <v>26.95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UPC</vt:lpstr>
      <vt:lpstr>PVP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Rivera</cp:lastModifiedBy>
  <dcterms:created xsi:type="dcterms:W3CDTF">2026-07-22T03:01:59Z</dcterms:created>
  <dcterms:modified xsi:type="dcterms:W3CDTF">2026-07-22T03:04:46Z</dcterms:modified>
</cp:coreProperties>
</file>